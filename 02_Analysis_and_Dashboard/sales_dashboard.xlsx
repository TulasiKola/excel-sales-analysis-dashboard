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202300"/>
  <mc:AlternateContent xmlns:mc="http://schemas.openxmlformats.org/markup-compatibility/2006">
    <mc:Choice Requires="x15">
      <x15ac:absPath xmlns:x15ac="http://schemas.microsoft.com/office/spreadsheetml/2010/11/ac" url="https://d.docs.live.net/a719d398e20cbf4b/"/>
    </mc:Choice>
  </mc:AlternateContent>
  <xr:revisionPtr revIDLastSave="498" documentId="8_{FBAD47A9-508A-4618-BB08-1E5E350C5FC6}" xr6:coauthVersionLast="47" xr6:coauthVersionMax="47" xr10:uidLastSave="{B0CE96E0-A0F9-4DE4-BBF6-6E87774469CE}"/>
  <bookViews>
    <workbookView xWindow="-110" yWindow="-110" windowWidth="19420" windowHeight="11500" activeTab="2" xr2:uid="{C1A2C3CB-80DC-4A36-A914-0DDF5C812D04}"/>
  </bookViews>
  <sheets>
    <sheet name="sales" sheetId="2" r:id="rId1"/>
    <sheet name="pivottables" sheetId="3" r:id="rId2"/>
    <sheet name="formulas" sheetId="4" r:id="rId3"/>
    <sheet name="Dashboard" sheetId="5" r:id="rId4"/>
  </sheets>
  <definedNames>
    <definedName name="ExternalData_1" localSheetId="0" hidden="1">sales!$A$1:$N$993</definedName>
    <definedName name="Slicer_Category">#N/A</definedName>
    <definedName name="Slicer_Region">#N/A</definedName>
    <definedName name="Slicer_State">#N/A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2" i="4" l="1"/>
  <c r="A8" i="4"/>
  <c r="A10" i="4"/>
  <c r="A6" i="4"/>
  <c r="A3" i="4"/>
  <c r="A1" i="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73873D7-40DB-45E9-BFD1-B56D0124193A}" keepAlive="1" name="Query - sales" description="Connection to the 'sales' query in the workbook." type="5" refreshedVersion="8" background="1" saveData="1">
    <dbPr connection="Provider=Microsoft.Mashup.OleDb.1;Data Source=$Workbook$;Location=sales;Extended Properties=&quot;&quot;" command="SELECT * FROM [sales]"/>
  </connection>
</connections>
</file>

<file path=xl/sharedStrings.xml><?xml version="1.0" encoding="utf-8"?>
<sst xmlns="http://schemas.openxmlformats.org/spreadsheetml/2006/main" count="9032" uniqueCount="1559">
  <si>
    <t>Order ID</t>
  </si>
  <si>
    <t>Order Date</t>
  </si>
  <si>
    <t>Customer ID</t>
  </si>
  <si>
    <t>Customer Name</t>
  </si>
  <si>
    <t>Region</t>
  </si>
  <si>
    <t>State</t>
  </si>
  <si>
    <t>City</t>
  </si>
  <si>
    <t>Category</t>
  </si>
  <si>
    <t>Sub-Category</t>
  </si>
  <si>
    <t>Product</t>
  </si>
  <si>
    <t>Quantity</t>
  </si>
  <si>
    <t>Sales</t>
  </si>
  <si>
    <t>Discount</t>
  </si>
  <si>
    <t>Profit</t>
  </si>
  <si>
    <t>ORD-1811</t>
  </si>
  <si>
    <t>CUST-1060</t>
  </si>
  <si>
    <t>Meera Singh</t>
  </si>
  <si>
    <t>East</t>
  </si>
  <si>
    <t>West Bengal</t>
  </si>
  <si>
    <t>Kolkata</t>
  </si>
  <si>
    <t>Furniture</t>
  </si>
  <si>
    <t>Chairs</t>
  </si>
  <si>
    <t>Office Chair</t>
  </si>
  <si>
    <t>ORD-1713</t>
  </si>
  <si>
    <t>CUST-1204</t>
  </si>
  <si>
    <t>Sneha Nair</t>
  </si>
  <si>
    <t>West</t>
  </si>
  <si>
    <t>Maharashtra</t>
  </si>
  <si>
    <t>Mumbai</t>
  </si>
  <si>
    <t>Technology</t>
  </si>
  <si>
    <t>Phones</t>
  </si>
  <si>
    <t>Smartphone A</t>
  </si>
  <si>
    <t>ORD-1698</t>
  </si>
  <si>
    <t>CUST-1131</t>
  </si>
  <si>
    <t>Rahul Singh</t>
  </si>
  <si>
    <t>North</t>
  </si>
  <si>
    <t>Punjab</t>
  </si>
  <si>
    <t>Amritsar</t>
  </si>
  <si>
    <t>Office Supplies</t>
  </si>
  <si>
    <t>Organizers</t>
  </si>
  <si>
    <t>File Folder Set</t>
  </si>
  <si>
    <t>ORD-1680</t>
  </si>
  <si>
    <t>CUST-1024</t>
  </si>
  <si>
    <t>Nisha Das</t>
  </si>
  <si>
    <t>Rajasthan</t>
  </si>
  <si>
    <t>Udaipur</t>
  </si>
  <si>
    <t>Storage</t>
  </si>
  <si>
    <t>Bookshelf</t>
  </si>
  <si>
    <t>ORD-1541</t>
  </si>
  <si>
    <t>CUST-1243</t>
  </si>
  <si>
    <t>Rohan Kumar</t>
  </si>
  <si>
    <t>South</t>
  </si>
  <si>
    <t>Karnataka</t>
  </si>
  <si>
    <t>Mysuru</t>
  </si>
  <si>
    <t>ORD-1804</t>
  </si>
  <si>
    <t>CUST-1238</t>
  </si>
  <si>
    <t>Rahul Reddy</t>
  </si>
  <si>
    <t>Bengaluru</t>
  </si>
  <si>
    <t>Accessories</t>
  </si>
  <si>
    <t>Wireless Mouse</t>
  </si>
  <si>
    <t>ORD-1981</t>
  </si>
  <si>
    <t>CUST-1219</t>
  </si>
  <si>
    <t>Varun Verma</t>
  </si>
  <si>
    <t>Telangana</t>
  </si>
  <si>
    <t>Warangal</t>
  </si>
  <si>
    <t>Tables</t>
  </si>
  <si>
    <t>Office Desk</t>
  </si>
  <si>
    <t>ORD-1178</t>
  </si>
  <si>
    <t>CUST-1193</t>
  </si>
  <si>
    <t>Ananya Gupta</t>
  </si>
  <si>
    <t>Haryana</t>
  </si>
  <si>
    <t>Faridabad</t>
  </si>
  <si>
    <t>Visitor Chair</t>
  </si>
  <si>
    <t>ORD-1368</t>
  </si>
  <si>
    <t>CUST-1137</t>
  </si>
  <si>
    <t>Meera Das</t>
  </si>
  <si>
    <t>Jharkhand</t>
  </si>
  <si>
    <t>Ranchi</t>
  </si>
  <si>
    <t>Paper</t>
  </si>
  <si>
    <t>A4 Paper Pack</t>
  </si>
  <si>
    <t>ORD-1870</t>
  </si>
  <si>
    <t>CUST-1044</t>
  </si>
  <si>
    <t>Isha Patel</t>
  </si>
  <si>
    <t>ORD-1272</t>
  </si>
  <si>
    <t>CUST-1067</t>
  </si>
  <si>
    <t>Priya Nair</t>
  </si>
  <si>
    <t>Goa</t>
  </si>
  <si>
    <t>Panaji</t>
  </si>
  <si>
    <t>Headphones</t>
  </si>
  <si>
    <t>ORD-1257</t>
  </si>
  <si>
    <t>CUST-1090</t>
  </si>
  <si>
    <t>Kavya Nair</t>
  </si>
  <si>
    <t>Tamil Nadu</t>
  </si>
  <si>
    <t>Chennai</t>
  </si>
  <si>
    <t>Laptops</t>
  </si>
  <si>
    <t>Laptop B</t>
  </si>
  <si>
    <t>ORD-1971</t>
  </si>
  <si>
    <t>CUST-1231</t>
  </si>
  <si>
    <t>Rohan Singh</t>
  </si>
  <si>
    <t>Andhra Pradesh</t>
  </si>
  <si>
    <t>Tirupati</t>
  </si>
  <si>
    <t>ORD-1791</t>
  </si>
  <si>
    <t>CUST-1077</t>
  </si>
  <si>
    <t>Pooja Sharma</t>
  </si>
  <si>
    <t>Kerala</t>
  </si>
  <si>
    <t>Thiruvananthapuram</t>
  </si>
  <si>
    <t>Laptop C</t>
  </si>
  <si>
    <t>ORD-1828</t>
  </si>
  <si>
    <t>CUST-1019</t>
  </si>
  <si>
    <t>Isha Reddy</t>
  </si>
  <si>
    <t>Delhi</t>
  </si>
  <si>
    <t>New Delhi</t>
  </si>
  <si>
    <t>Smartphone B</t>
  </si>
  <si>
    <t>ORD-1355</t>
  </si>
  <si>
    <t>CUST-1122</t>
  </si>
  <si>
    <t>Kiran Singh</t>
  </si>
  <si>
    <t>Jaipur</t>
  </si>
  <si>
    <t>Study Table</t>
  </si>
  <si>
    <t>ORD-1763</t>
  </si>
  <si>
    <t>CUST-1190</t>
  </si>
  <si>
    <t>Arjun Patel</t>
  </si>
  <si>
    <t>Gujarat</t>
  </si>
  <si>
    <t>Ahmedabad</t>
  </si>
  <si>
    <t>ORD-1164</t>
  </si>
  <si>
    <t>CUST-1155</t>
  </si>
  <si>
    <t>ORD-1190</t>
  </si>
  <si>
    <t>CUST-1070</t>
  </si>
  <si>
    <t>Varun Reddy</t>
  </si>
  <si>
    <t>Uttar Pradesh</t>
  </si>
  <si>
    <t>Lucknow</t>
  </si>
  <si>
    <t>Filing Cabinet</t>
  </si>
  <si>
    <t>ORD-1199</t>
  </si>
  <si>
    <t>CUST-1101</t>
  </si>
  <si>
    <t>Pooja Singh</t>
  </si>
  <si>
    <t>Document Tray</t>
  </si>
  <si>
    <t>ORD-1642</t>
  </si>
  <si>
    <t>CUST-1074</t>
  </si>
  <si>
    <t>Nisha Singh</t>
  </si>
  <si>
    <t>Laptop A</t>
  </si>
  <si>
    <t>ORD-1057</t>
  </si>
  <si>
    <t>CUST-1113</t>
  </si>
  <si>
    <t>Rahul Patel</t>
  </si>
  <si>
    <t>Conference Table</t>
  </si>
  <si>
    <t>ORD-1659</t>
  </si>
  <si>
    <t>CUST-1013</t>
  </si>
  <si>
    <t>Manoj Patel</t>
  </si>
  <si>
    <t>ORD-1833</t>
  </si>
  <si>
    <t>CUST-1191</t>
  </si>
  <si>
    <t>Rohan Gupta</t>
  </si>
  <si>
    <t>ORD-1556</t>
  </si>
  <si>
    <t>CUST-1079</t>
  </si>
  <si>
    <t>Asha Reddy</t>
  </si>
  <si>
    <t>ORD-1412</t>
  </si>
  <si>
    <t>ORD-1474</t>
  </si>
  <si>
    <t>CUST-1213</t>
  </si>
  <si>
    <t>Asha Gupta</t>
  </si>
  <si>
    <t>ORD-1863</t>
  </si>
  <si>
    <t>CUST-1233</t>
  </si>
  <si>
    <t>Aarav Kumar</t>
  </si>
  <si>
    <t>ORD-1595</t>
  </si>
  <si>
    <t>CUST-1201</t>
  </si>
  <si>
    <t>Sanjay Nair</t>
  </si>
  <si>
    <t>ORD-1754</t>
  </si>
  <si>
    <t>ORD-1496</t>
  </si>
  <si>
    <t>CUST-1102</t>
  </si>
  <si>
    <t>Manoj Singh</t>
  </si>
  <si>
    <t>ORD-1330</t>
  </si>
  <si>
    <t>CUST-1098</t>
  </si>
  <si>
    <t>Divya Das</t>
  </si>
  <si>
    <t>ORD-1694</t>
  </si>
  <si>
    <t>CUST-1161</t>
  </si>
  <si>
    <t>Vikram Singh</t>
  </si>
  <si>
    <t>ORD-1333</t>
  </si>
  <si>
    <t>CUST-1220</t>
  </si>
  <si>
    <t>Photo Paper</t>
  </si>
  <si>
    <t>ORD-1283</t>
  </si>
  <si>
    <t>CUST-1126</t>
  </si>
  <si>
    <t>Aditya Singh</t>
  </si>
  <si>
    <t>Coimbatore</t>
  </si>
  <si>
    <t>ORD-1552</t>
  </si>
  <si>
    <t>CUST-1072</t>
  </si>
  <si>
    <t>Arjun Verma</t>
  </si>
  <si>
    <t>Smartphone C</t>
  </si>
  <si>
    <t>ORD-1045</t>
  </si>
  <si>
    <t>Pooja Gupta</t>
  </si>
  <si>
    <t>Odisha</t>
  </si>
  <si>
    <t>Bhubaneswar</t>
  </si>
  <si>
    <t>ORD-1385</t>
  </si>
  <si>
    <t>Asha Das</t>
  </si>
  <si>
    <t>ORD-1179</t>
  </si>
  <si>
    <t>Asha Patel</t>
  </si>
  <si>
    <t>ORD-1906</t>
  </si>
  <si>
    <t>CUST-1003</t>
  </si>
  <si>
    <t>Divya Kumar</t>
  </si>
  <si>
    <t>ORD-1332</t>
  </si>
  <si>
    <t>CUST-1224</t>
  </si>
  <si>
    <t>Ananya Singh</t>
  </si>
  <si>
    <t>Executive Chair</t>
  </si>
  <si>
    <t>ORD-1830</t>
  </si>
  <si>
    <t>CUST-1085</t>
  </si>
  <si>
    <t>Kavya Kumar</t>
  </si>
  <si>
    <t>ORD-1663</t>
  </si>
  <si>
    <t>Aarav Verma</t>
  </si>
  <si>
    <t>Storage Rack</t>
  </si>
  <si>
    <t>ORD-1432</t>
  </si>
  <si>
    <t>CUST-1217</t>
  </si>
  <si>
    <t>Kochi</t>
  </si>
  <si>
    <t>ORD-1070</t>
  </si>
  <si>
    <t>CUST-1111</t>
  </si>
  <si>
    <t>Aarav Patel</t>
  </si>
  <si>
    <t>Bihar</t>
  </si>
  <si>
    <t>Patna</t>
  </si>
  <si>
    <t>ORD-1250</t>
  </si>
  <si>
    <t>Rohan Rao</t>
  </si>
  <si>
    <t>Surat</t>
  </si>
  <si>
    <t>ORD-1535</t>
  </si>
  <si>
    <t>CUST-1059</t>
  </si>
  <si>
    <t>Sanjay Kumar</t>
  </si>
  <si>
    <t>Stationery</t>
  </si>
  <si>
    <t>Marker Pack</t>
  </si>
  <si>
    <t>CUST-1168</t>
  </si>
  <si>
    <t>Notebook</t>
  </si>
  <si>
    <t>ORD-1451</t>
  </si>
  <si>
    <t>CUST-1236</t>
  </si>
  <si>
    <t>Kavya Verma</t>
  </si>
  <si>
    <t>Pen Set</t>
  </si>
  <si>
    <t>ORD-1717</t>
  </si>
  <si>
    <t>CUST-1056</t>
  </si>
  <si>
    <t>Priya Kumar</t>
  </si>
  <si>
    <t>ORD-1193</t>
  </si>
  <si>
    <t>Sneha Rao</t>
  </si>
  <si>
    <t>Vijayawada</t>
  </si>
  <si>
    <t>ORD-1709</t>
  </si>
  <si>
    <t>CUST-1124</t>
  </si>
  <si>
    <t>Sneha Patel</t>
  </si>
  <si>
    <t>ORD-1872</t>
  </si>
  <si>
    <t>CUST-1007</t>
  </si>
  <si>
    <t>Aditya Patel</t>
  </si>
  <si>
    <t>ORD-1444</t>
  </si>
  <si>
    <t>CUST-1071</t>
  </si>
  <si>
    <t>Aarav Sharma</t>
  </si>
  <si>
    <t>ORD-1789</t>
  </si>
  <si>
    <t>CUST-1215</t>
  </si>
  <si>
    <t>Meera Rao</t>
  </si>
  <si>
    <t>ORD-1777</t>
  </si>
  <si>
    <t>Sneha Reddy</t>
  </si>
  <si>
    <t>ORD-1284</t>
  </si>
  <si>
    <t>CUST-1214</t>
  </si>
  <si>
    <t>Arjun Reddy</t>
  </si>
  <si>
    <t>Pune</t>
  </si>
  <si>
    <t>ORD-1042</t>
  </si>
  <si>
    <t>CUST-1039</t>
  </si>
  <si>
    <t>ORD-1475</t>
  </si>
  <si>
    <t>CUST-1216</t>
  </si>
  <si>
    <t>Vikram Nair</t>
  </si>
  <si>
    <t>Ludhiana</t>
  </si>
  <si>
    <t>ORD-1564</t>
  </si>
  <si>
    <t>CUST-1061</t>
  </si>
  <si>
    <t>Desk Organizer</t>
  </si>
  <si>
    <t>ORD-1844</t>
  </si>
  <si>
    <t>Arjun Das</t>
  </si>
  <si>
    <t>ORD-1200</t>
  </si>
  <si>
    <t>CUST-1158</t>
  </si>
  <si>
    <t>Kiran Reddy</t>
  </si>
  <si>
    <t>ORD-1143</t>
  </si>
  <si>
    <t>CUST-1151</t>
  </si>
  <si>
    <t>Aditya Das</t>
  </si>
  <si>
    <t>Nagpur</t>
  </si>
  <si>
    <t>ORD-1282</t>
  </si>
  <si>
    <t>CUST-1115</t>
  </si>
  <si>
    <t>Arjun Gupta</t>
  </si>
  <si>
    <t>ORD-1021</t>
  </si>
  <si>
    <t>ORD-1630</t>
  </si>
  <si>
    <t>CUST-1034</t>
  </si>
  <si>
    <t>Nisha Sharma</t>
  </si>
  <si>
    <t>ORD-1127</t>
  </si>
  <si>
    <t>CUST-1148</t>
  </si>
  <si>
    <t>ORD-1160</t>
  </si>
  <si>
    <t>CUST-1141</t>
  </si>
  <si>
    <t>Priya Gupta</t>
  </si>
  <si>
    <t>ORD-1714</t>
  </si>
  <si>
    <t>CUST-1250</t>
  </si>
  <si>
    <t>ORD-1106</t>
  </si>
  <si>
    <t>CUST-1005</t>
  </si>
  <si>
    <t>Aditya Reddy</t>
  </si>
  <si>
    <t>ORD-1258</t>
  </si>
  <si>
    <t>CUST-1025</t>
  </si>
  <si>
    <t>Isha Kumar</t>
  </si>
  <si>
    <t>ORD-1137</t>
  </si>
  <si>
    <t>CUST-1136</t>
  </si>
  <si>
    <t>Varun Gupta</t>
  </si>
  <si>
    <t>ORD-1399</t>
  </si>
  <si>
    <t>CUST-1153</t>
  </si>
  <si>
    <t>Manoj Sharma</t>
  </si>
  <si>
    <t>ORD-1918</t>
  </si>
  <si>
    <t>CUST-1128</t>
  </si>
  <si>
    <t>Isha Singh</t>
  </si>
  <si>
    <t>Gurugram</t>
  </si>
  <si>
    <t>ORD-1375</t>
  </si>
  <si>
    <t>CUST-1055</t>
  </si>
  <si>
    <t>Keyboard</t>
  </si>
  <si>
    <t>ORD-1506</t>
  </si>
  <si>
    <t>ORD-1011</t>
  </si>
  <si>
    <t>CUST-1108</t>
  </si>
  <si>
    <t>Meera Patel</t>
  </si>
  <si>
    <t>ORD-1304</t>
  </si>
  <si>
    <t>CUST-1011</t>
  </si>
  <si>
    <t>Premium Paper</t>
  </si>
  <si>
    <t>ORD-1932</t>
  </si>
  <si>
    <t>CUST-1156</t>
  </si>
  <si>
    <t>ORD-1995</t>
  </si>
  <si>
    <t>CUST-1086</t>
  </si>
  <si>
    <t>Divya Rao</t>
  </si>
  <si>
    <t>ORD-1947</t>
  </si>
  <si>
    <t>CUST-1064</t>
  </si>
  <si>
    <t>Vikram Reddy</t>
  </si>
  <si>
    <t>ORD-1926</t>
  </si>
  <si>
    <t>CUST-1105</t>
  </si>
  <si>
    <t>Kiran Patel</t>
  </si>
  <si>
    <t>ORD-1075</t>
  </si>
  <si>
    <t>CUST-1206</t>
  </si>
  <si>
    <t>ORD-1560</t>
  </si>
  <si>
    <t>CUST-1195</t>
  </si>
  <si>
    <t>Nisha Nair</t>
  </si>
  <si>
    <t>Hyderabad</t>
  </si>
  <si>
    <t>ORD-1752</t>
  </si>
  <si>
    <t>CUST-1246</t>
  </si>
  <si>
    <t>ORD-1925</t>
  </si>
  <si>
    <t>CUST-1116</t>
  </si>
  <si>
    <t>Vikram Das</t>
  </si>
  <si>
    <t>ORD-1648</t>
  </si>
  <si>
    <t>CUST-1058</t>
  </si>
  <si>
    <t>ORD-1276</t>
  </si>
  <si>
    <t>CUST-1187</t>
  </si>
  <si>
    <t>ORD-1613</t>
  </si>
  <si>
    <t>CUST-1103</t>
  </si>
  <si>
    <t>Ananya Reddy</t>
  </si>
  <si>
    <t>ORD-1088</t>
  </si>
  <si>
    <t>CUST-1017</t>
  </si>
  <si>
    <t>Arjun Nair</t>
  </si>
  <si>
    <t>ORD-1060</t>
  </si>
  <si>
    <t>Kavya Gupta</t>
  </si>
  <si>
    <t>ORD-1471</t>
  </si>
  <si>
    <t>CUST-1119</t>
  </si>
  <si>
    <t>ORD-1741</t>
  </si>
  <si>
    <t>CUST-1028</t>
  </si>
  <si>
    <t>Vikram Rao</t>
  </si>
  <si>
    <t>ORD-1424</t>
  </si>
  <si>
    <t>ORD-1755</t>
  </si>
  <si>
    <t>Kavya Rao</t>
  </si>
  <si>
    <t>ORD-1386</t>
  </si>
  <si>
    <t>CUST-1173</t>
  </si>
  <si>
    <t>Ananya Rao</t>
  </si>
  <si>
    <t>ORD-1904</t>
  </si>
  <si>
    <t>Noida</t>
  </si>
  <si>
    <t>ORD-1036</t>
  </si>
  <si>
    <t>CUST-1210</t>
  </si>
  <si>
    <t>Sanjay Das</t>
  </si>
  <si>
    <t>ORD-1885</t>
  </si>
  <si>
    <t>Ananya Patel</t>
  </si>
  <si>
    <t>ORD-1296</t>
  </si>
  <si>
    <t>Divya Gupta</t>
  </si>
  <si>
    <t>ORD-1715</t>
  </si>
  <si>
    <t>CUST-1169</t>
  </si>
  <si>
    <t>ORD-1676</t>
  </si>
  <si>
    <t>CUST-1114</t>
  </si>
  <si>
    <t>Manoj Gupta</t>
  </si>
  <si>
    <t>ORD-1684</t>
  </si>
  <si>
    <t>Kiran Sharma</t>
  </si>
  <si>
    <t>ORD-1937</t>
  </si>
  <si>
    <t>CUST-1245</t>
  </si>
  <si>
    <t>Nisha Verma</t>
  </si>
  <si>
    <t>ORD-1206</t>
  </si>
  <si>
    <t>ORD-1952</t>
  </si>
  <si>
    <t>CUST-1202</t>
  </si>
  <si>
    <t>Meera Sharma</t>
  </si>
  <si>
    <t>ORD-1762</t>
  </si>
  <si>
    <t>Ananya Nair</t>
  </si>
  <si>
    <t>ORD-1110</t>
  </si>
  <si>
    <t>CUST-1159</t>
  </si>
  <si>
    <t>Divya Patel</t>
  </si>
  <si>
    <t>ORD-1726</t>
  </si>
  <si>
    <t>CUST-1038</t>
  </si>
  <si>
    <t>Pooja Das</t>
  </si>
  <si>
    <t>ORD-1837</t>
  </si>
  <si>
    <t>CUST-1008</t>
  </si>
  <si>
    <t>ORD-1897</t>
  </si>
  <si>
    <t>CUST-1109</t>
  </si>
  <si>
    <t>ORD-1210</t>
  </si>
  <si>
    <t>CUST-1196</t>
  </si>
  <si>
    <t>ORD-1123</t>
  </si>
  <si>
    <t>Meera Gupta</t>
  </si>
  <si>
    <t>ORD-1761</t>
  </si>
  <si>
    <t>CUST-1209</t>
  </si>
  <si>
    <t>Nisha Rao</t>
  </si>
  <si>
    <t>ORD-1449</t>
  </si>
  <si>
    <t>Aarav Reddy</t>
  </si>
  <si>
    <t>ORD-1167</t>
  </si>
  <si>
    <t>ORD-1629</t>
  </si>
  <si>
    <t>CUST-1094</t>
  </si>
  <si>
    <t>Isha Verma</t>
  </si>
  <si>
    <t>ORD-1480</t>
  </si>
  <si>
    <t>CUST-1147</t>
  </si>
  <si>
    <t>Divya Singh</t>
  </si>
  <si>
    <t>ORD-1487</t>
  </si>
  <si>
    <t>CUST-1166</t>
  </si>
  <si>
    <t>ORD-1800</t>
  </si>
  <si>
    <t>ORD-1817</t>
  </si>
  <si>
    <t>ORD-1832</t>
  </si>
  <si>
    <t>CUST-1186</t>
  </si>
  <si>
    <t>ORD-1364</t>
  </si>
  <si>
    <t>CUST-1194</t>
  </si>
  <si>
    <t>Kavya Das</t>
  </si>
  <si>
    <t>ORD-1340</t>
  </si>
  <si>
    <t>CUST-1127</t>
  </si>
  <si>
    <t>ORD-1916</t>
  </si>
  <si>
    <t>CUST-1009</t>
  </si>
  <si>
    <t>Asha Rao</t>
  </si>
  <si>
    <t>ORD-1518</t>
  </si>
  <si>
    <t>CUST-1139</t>
  </si>
  <si>
    <t>Sneha Das</t>
  </si>
  <si>
    <t>ORD-1829</t>
  </si>
  <si>
    <t>Arjun Kumar</t>
  </si>
  <si>
    <t>ORD-1866</t>
  </si>
  <si>
    <t>Nisha Reddy</t>
  </si>
  <si>
    <t>Priya Reddy</t>
  </si>
  <si>
    <t>ORD-1527</t>
  </si>
  <si>
    <t>CUST-1095</t>
  </si>
  <si>
    <t>Kiran Gupta</t>
  </si>
  <si>
    <t>ORD-1028</t>
  </si>
  <si>
    <t>CUST-1099</t>
  </si>
  <si>
    <t>Kavya Patel</t>
  </si>
  <si>
    <t>ORD-1565</t>
  </si>
  <si>
    <t>Manoj Kumar</t>
  </si>
  <si>
    <t>ORD-1890</t>
  </si>
  <si>
    <t>CUST-1082</t>
  </si>
  <si>
    <t>Sanjay Sharma</t>
  </si>
  <si>
    <t>ORD-1834</t>
  </si>
  <si>
    <t>CUST-1123</t>
  </si>
  <si>
    <t>Nisha Gupta</t>
  </si>
  <si>
    <t>ORD-1522</t>
  </si>
  <si>
    <t>Manoj Nair</t>
  </si>
  <si>
    <t>ORD-1964</t>
  </si>
  <si>
    <t>CUST-1053</t>
  </si>
  <si>
    <t>ORD-1944</t>
  </si>
  <si>
    <t>CUST-1228</t>
  </si>
  <si>
    <t>Sanjay Reddy</t>
  </si>
  <si>
    <t>ORD-1802</t>
  </si>
  <si>
    <t>CUST-1021</t>
  </si>
  <si>
    <t>ORD-1878</t>
  </si>
  <si>
    <t>Rohan Das</t>
  </si>
  <si>
    <t>ORD-1004</t>
  </si>
  <si>
    <t>CUST-1104</t>
  </si>
  <si>
    <t>ORD-1697</t>
  </si>
  <si>
    <t>CUST-1181</t>
  </si>
  <si>
    <t>Ananya Sharma</t>
  </si>
  <si>
    <t>ORD-1055</t>
  </si>
  <si>
    <t>ORD-1394</t>
  </si>
  <si>
    <t>Kiran Rao</t>
  </si>
  <si>
    <t>ORD-1038</t>
  </si>
  <si>
    <t>CUST-1083</t>
  </si>
  <si>
    <t>Varun Singh</t>
  </si>
  <si>
    <t>ORD-1545</t>
  </si>
  <si>
    <t>CUST-1037</t>
  </si>
  <si>
    <t>Kavya Reddy</t>
  </si>
  <si>
    <t>ORD-1435</t>
  </si>
  <si>
    <t>CUST-1184</t>
  </si>
  <si>
    <t>Vikram Gupta</t>
  </si>
  <si>
    <t>ORD-1273</t>
  </si>
  <si>
    <t>ORD-1695</t>
  </si>
  <si>
    <t>CUST-1118</t>
  </si>
  <si>
    <t>ORD-1876</t>
  </si>
  <si>
    <t>CUST-1001</t>
  </si>
  <si>
    <t>ORD-1255</t>
  </si>
  <si>
    <t>Vikram Patel</t>
  </si>
  <si>
    <t>ORD-1656</t>
  </si>
  <si>
    <t>ORD-1162</t>
  </si>
  <si>
    <t>CUST-1207</t>
  </si>
  <si>
    <t>ORD-1803</t>
  </si>
  <si>
    <t>CUST-1120</t>
  </si>
  <si>
    <t>ORD-1450</t>
  </si>
  <si>
    <t>CUST-1172</t>
  </si>
  <si>
    <t>Visakhapatnam</t>
  </si>
  <si>
    <t>ORD-1114</t>
  </si>
  <si>
    <t>ORD-1348</t>
  </si>
  <si>
    <t>Asha Verma</t>
  </si>
  <si>
    <t>ORD-1991</t>
  </si>
  <si>
    <t>CUST-1036</t>
  </si>
  <si>
    <t>ORD-1529</t>
  </si>
  <si>
    <t>CUST-1046</t>
  </si>
  <si>
    <t>Divya Nair</t>
  </si>
  <si>
    <t>ORD-1775</t>
  </si>
  <si>
    <t>Meera Kumar</t>
  </si>
  <si>
    <t>ORD-1002</t>
  </si>
  <si>
    <t>CUST-1170</t>
  </si>
  <si>
    <t>Pooja Kumar</t>
  </si>
  <si>
    <t>ORD-1831</t>
  </si>
  <si>
    <t>CUST-1203</t>
  </si>
  <si>
    <t>ORD-1263</t>
  </si>
  <si>
    <t>CUST-1125</t>
  </si>
  <si>
    <t>Priya Sharma</t>
  </si>
  <si>
    <t>ORD-1712</t>
  </si>
  <si>
    <t>CUST-1180</t>
  </si>
  <si>
    <t>ORD-1910</t>
  </si>
  <si>
    <t>CUST-1100</t>
  </si>
  <si>
    <t>ORD-1982</t>
  </si>
  <si>
    <t>CUST-1073</t>
  </si>
  <si>
    <t>ORD-1686</t>
  </si>
  <si>
    <t>Sanjay Patel</t>
  </si>
  <si>
    <t>ORD-1835</t>
  </si>
  <si>
    <t>ORD-1796</t>
  </si>
  <si>
    <t>CUST-1232</t>
  </si>
  <si>
    <t>Sanjay Gupta</t>
  </si>
  <si>
    <t>ORD-1037</t>
  </si>
  <si>
    <t>CUST-1084</t>
  </si>
  <si>
    <t>Pooja Nair</t>
  </si>
  <si>
    <t>ORD-1799</t>
  </si>
  <si>
    <t>Arjun Rao</t>
  </si>
  <si>
    <t>ORD-1307</t>
  </si>
  <si>
    <t>Aditya Nair</t>
  </si>
  <si>
    <t>ORD-1063</t>
  </si>
  <si>
    <t>CUST-1185</t>
  </si>
  <si>
    <t>ORD-1846</t>
  </si>
  <si>
    <t>ORD-1849</t>
  </si>
  <si>
    <t>Rahul Das</t>
  </si>
  <si>
    <t>ORD-1497</t>
  </si>
  <si>
    <t>CUST-1223</t>
  </si>
  <si>
    <t>ORD-1373</t>
  </si>
  <si>
    <t>Cuttack</t>
  </si>
  <si>
    <t>ORD-1236</t>
  </si>
  <si>
    <t>ORD-1119</t>
  </si>
  <si>
    <t>CUST-1205</t>
  </si>
  <si>
    <t>ORD-1100</t>
  </si>
  <si>
    <t>CUST-1222</t>
  </si>
  <si>
    <t>ORD-1953</t>
  </si>
  <si>
    <t>ORD-1983</t>
  </si>
  <si>
    <t>CUST-1069</t>
  </si>
  <si>
    <t>ORD-1626</t>
  </si>
  <si>
    <t>ORD-1877</t>
  </si>
  <si>
    <t>CUST-1142</t>
  </si>
  <si>
    <t>Isha Das</t>
  </si>
  <si>
    <t>ORD-1533</t>
  </si>
  <si>
    <t>ORD-1196</t>
  </si>
  <si>
    <t>Rahul Gupta</t>
  </si>
  <si>
    <t>ORD-1728</t>
  </si>
  <si>
    <t>CUST-1042</t>
  </si>
  <si>
    <t>ORD-1939</t>
  </si>
  <si>
    <t>CUST-1174</t>
  </si>
  <si>
    <t>ORD-1466</t>
  </si>
  <si>
    <t>CUST-1154</t>
  </si>
  <si>
    <t>ORD-1975</t>
  </si>
  <si>
    <t>Kiran Nair</t>
  </si>
  <si>
    <t>ORD-1470</t>
  </si>
  <si>
    <t>CUST-1023</t>
  </si>
  <si>
    <t>ORD-1566</t>
  </si>
  <si>
    <t>ORD-1980</t>
  </si>
  <si>
    <t>ORD-1605</t>
  </si>
  <si>
    <t>ORD-1729</t>
  </si>
  <si>
    <t>ORD-1469</t>
  </si>
  <si>
    <t>ORD-1808</t>
  </si>
  <si>
    <t>CUST-1230</t>
  </si>
  <si>
    <t>Meera Verma</t>
  </si>
  <si>
    <t>ORD-1955</t>
  </si>
  <si>
    <t>Priya Das</t>
  </si>
  <si>
    <t>ORD-1673</t>
  </si>
  <si>
    <t>Sneha Verma</t>
  </si>
  <si>
    <t>ORD-1101</t>
  </si>
  <si>
    <t>CUST-1143</t>
  </si>
  <si>
    <t>ORD-1540</t>
  </si>
  <si>
    <t>ORD-1243</t>
  </si>
  <si>
    <t>CUST-1010</t>
  </si>
  <si>
    <t>ORD-1892</t>
  </si>
  <si>
    <t>ORD-1579</t>
  </si>
  <si>
    <t>ORD-1536</t>
  </si>
  <si>
    <t>ORD-1628</t>
  </si>
  <si>
    <t>CUST-1179</t>
  </si>
  <si>
    <t>ORD-1279</t>
  </si>
  <si>
    <t>CUST-1112</t>
  </si>
  <si>
    <t>Varun Das</t>
  </si>
  <si>
    <t>ORD-1214</t>
  </si>
  <si>
    <t>Rahul Rao</t>
  </si>
  <si>
    <t>ORD-1183</t>
  </si>
  <si>
    <t>CUST-1030</t>
  </si>
  <si>
    <t>Sneha Singh</t>
  </si>
  <si>
    <t>ORD-1633</t>
  </si>
  <si>
    <t>CUST-1089</t>
  </si>
  <si>
    <t>ORD-1337</t>
  </si>
  <si>
    <t>CUST-1249</t>
  </si>
  <si>
    <t>ORD-1759</t>
  </si>
  <si>
    <t>CUST-1208</t>
  </si>
  <si>
    <t>ORD-1588</t>
  </si>
  <si>
    <t>Manoj Das</t>
  </si>
  <si>
    <t>ORD-1622</t>
  </si>
  <si>
    <t>ORD-1318</t>
  </si>
  <si>
    <t>ORD-1537</t>
  </si>
  <si>
    <t>CUST-1002</t>
  </si>
  <si>
    <t>ORD-1446</t>
  </si>
  <si>
    <t>CUST-1146</t>
  </si>
  <si>
    <t>Manoj Verma</t>
  </si>
  <si>
    <t>ORD-1597</t>
  </si>
  <si>
    <t>CUST-1135</t>
  </si>
  <si>
    <t>Aditya Gupta</t>
  </si>
  <si>
    <t>ORD-1771</t>
  </si>
  <si>
    <t>CUST-1165</t>
  </si>
  <si>
    <t>ORD-1086</t>
  </si>
  <si>
    <t>ORD-1943</t>
  </si>
  <si>
    <t>CUST-1018</t>
  </si>
  <si>
    <t>Asha Kumar</t>
  </si>
  <si>
    <t>ORD-1473</t>
  </si>
  <si>
    <t>Priya Rao</t>
  </si>
  <si>
    <t>ORD-1488</t>
  </si>
  <si>
    <t>CUST-1182</t>
  </si>
  <si>
    <t>ORD-1936</t>
  </si>
  <si>
    <t>ORD-1957</t>
  </si>
  <si>
    <t>Aarav Nair</t>
  </si>
  <si>
    <t>ORD-1551</t>
  </si>
  <si>
    <t>Divya Verma</t>
  </si>
  <si>
    <t>ORD-1989</t>
  </si>
  <si>
    <t>CUST-1031</t>
  </si>
  <si>
    <t>Aarav Das</t>
  </si>
  <si>
    <t>ORD-1865</t>
  </si>
  <si>
    <t>ORD-1494</t>
  </si>
  <si>
    <t>ORD-1708</t>
  </si>
  <si>
    <t>CUST-1167</t>
  </si>
  <si>
    <t>ORD-1071</t>
  </si>
  <si>
    <t>CUST-1066</t>
  </si>
  <si>
    <t>ORD-1756</t>
  </si>
  <si>
    <t>ORD-1321</t>
  </si>
  <si>
    <t>ORD-1059</t>
  </si>
  <si>
    <t>CUST-1218</t>
  </si>
  <si>
    <t>Meera Nair</t>
  </si>
  <si>
    <t>ORD-1838</t>
  </si>
  <si>
    <t>CUST-1133</t>
  </si>
  <si>
    <t>Kiran Verma</t>
  </si>
  <si>
    <t>ORD-1836</t>
  </si>
  <si>
    <t>ORD-1501</t>
  </si>
  <si>
    <t>ORD-1814</t>
  </si>
  <si>
    <t>CUST-1020</t>
  </si>
  <si>
    <t>ORD-1962</t>
  </si>
  <si>
    <t>ORD-1801</t>
  </si>
  <si>
    <t>CUST-1235</t>
  </si>
  <si>
    <t>ORD-1140</t>
  </si>
  <si>
    <t>Varun Sharma</t>
  </si>
  <si>
    <t>ORD-1875</t>
  </si>
  <si>
    <t>Rahul Verma</t>
  </si>
  <si>
    <t>ORD-1809</t>
  </si>
  <si>
    <t>ORD-1422</t>
  </si>
  <si>
    <t>CUST-1040</t>
  </si>
  <si>
    <t>ORD-1077</t>
  </si>
  <si>
    <t>CUST-1075</t>
  </si>
  <si>
    <t>ORD-1670</t>
  </si>
  <si>
    <t>ORD-1122</t>
  </si>
  <si>
    <t>Divya Reddy</t>
  </si>
  <si>
    <t>ORD-1145</t>
  </si>
  <si>
    <t>ORD-1064</t>
  </si>
  <si>
    <t>ORD-1531</t>
  </si>
  <si>
    <t>CUST-1029</t>
  </si>
  <si>
    <t>ORD-1727</t>
  </si>
  <si>
    <t>ORD-1491</t>
  </si>
  <si>
    <t>CUST-1049</t>
  </si>
  <si>
    <t>ORD-1405</t>
  </si>
  <si>
    <t>CUST-1237</t>
  </si>
  <si>
    <t>ORD-1749</t>
  </si>
  <si>
    <t>ORD-1295</t>
  </si>
  <si>
    <t>ORD-1354</t>
  </si>
  <si>
    <t>ORD-1787</t>
  </si>
  <si>
    <t>CUST-1192</t>
  </si>
  <si>
    <t>ORD-1616</t>
  </si>
  <si>
    <t>ORD-1998</t>
  </si>
  <si>
    <t>ORD-1573</t>
  </si>
  <si>
    <t>Sneha Kumar</t>
  </si>
  <si>
    <t>ORD-1758</t>
  </si>
  <si>
    <t>ORD-1859</t>
  </si>
  <si>
    <t>ORD-1261</t>
  </si>
  <si>
    <t>ORD-1894</t>
  </si>
  <si>
    <t>CUST-1106</t>
  </si>
  <si>
    <t>ORD-1031</t>
  </si>
  <si>
    <t>Asha Singh</t>
  </si>
  <si>
    <t>ORD-1066</t>
  </si>
  <si>
    <t>Sanjay Singh</t>
  </si>
  <si>
    <t>ORD-1264</t>
  </si>
  <si>
    <t>CUST-1065</t>
  </si>
  <si>
    <t>ORD-1766</t>
  </si>
  <si>
    <t>Rohan Sharma</t>
  </si>
  <si>
    <t>ORD-1857</t>
  </si>
  <si>
    <t>ORD-1366</t>
  </si>
  <si>
    <t>ORD-1704</t>
  </si>
  <si>
    <t>Vikram Sharma</t>
  </si>
  <si>
    <t>ORD-1013</t>
  </si>
  <si>
    <t>Rohan Patel</t>
  </si>
  <si>
    <t>ORD-1743</t>
  </si>
  <si>
    <t>ORD-1052</t>
  </si>
  <si>
    <t>Varun Kumar</t>
  </si>
  <si>
    <t>ORD-1139</t>
  </si>
  <si>
    <t>ORD-1008</t>
  </si>
  <si>
    <t>ORD-1954</t>
  </si>
  <si>
    <t>ORD-1524</t>
  </si>
  <si>
    <t>CUST-1035</t>
  </si>
  <si>
    <t>ORD-1984</t>
  </si>
  <si>
    <t>ORD-1431</t>
  </si>
  <si>
    <t>Aditya Rao</t>
  </si>
  <si>
    <t>ORD-1841</t>
  </si>
  <si>
    <t>Kiran Das</t>
  </si>
  <si>
    <t>ORD-1581</t>
  </si>
  <si>
    <t>CUST-1012</t>
  </si>
  <si>
    <t>ORD-1362</t>
  </si>
  <si>
    <t>CUST-1163</t>
  </si>
  <si>
    <t>ORD-1805</t>
  </si>
  <si>
    <t>ORD-1468</t>
  </si>
  <si>
    <t>CUST-1078</t>
  </si>
  <si>
    <t>ORD-1001</t>
  </si>
  <si>
    <t>ORD-1920</t>
  </si>
  <si>
    <t>ORD-1879</t>
  </si>
  <si>
    <t>ORD-1169</t>
  </si>
  <si>
    <t>ORD-1248</t>
  </si>
  <si>
    <t>ORD-1461</t>
  </si>
  <si>
    <t>CUST-1045</t>
  </si>
  <si>
    <t>Divya Sharma</t>
  </si>
  <si>
    <t>ORD-1968</t>
  </si>
  <si>
    <t>ORD-1259</t>
  </si>
  <si>
    <t>Varun Nair</t>
  </si>
  <si>
    <t>ORD-1544</t>
  </si>
  <si>
    <t>ORD-1093</t>
  </si>
  <si>
    <t>ORD-1141</t>
  </si>
  <si>
    <t>Aditya Kumar</t>
  </si>
  <si>
    <t>ORD-1346</t>
  </si>
  <si>
    <t>Kiran Kumar</t>
  </si>
  <si>
    <t>ORD-1120</t>
  </si>
  <si>
    <t>ORD-1219</t>
  </si>
  <si>
    <t>ORD-1923</t>
  </si>
  <si>
    <t>Arjun Singh</t>
  </si>
  <si>
    <t>ORD-1826</t>
  </si>
  <si>
    <t>ORD-1254</t>
  </si>
  <si>
    <t>CUST-1092</t>
  </si>
  <si>
    <t>ORD-1724</t>
  </si>
  <si>
    <t>ORD-1221</t>
  </si>
  <si>
    <t>ORD-1534</t>
  </si>
  <si>
    <t>CUST-1239</t>
  </si>
  <si>
    <t>ORD-1456</t>
  </si>
  <si>
    <t>Nisha Patel</t>
  </si>
  <si>
    <t>ORD-1823</t>
  </si>
  <si>
    <t>ORD-1542</t>
  </si>
  <si>
    <t>CUST-1032</t>
  </si>
  <si>
    <t>Isha Sharma</t>
  </si>
  <si>
    <t>ORD-1914</t>
  </si>
  <si>
    <t>ORD-1288</t>
  </si>
  <si>
    <t>ORD-1097</t>
  </si>
  <si>
    <t>CUST-1188</t>
  </si>
  <si>
    <t>ORD-1303</t>
  </si>
  <si>
    <t>ORD-1915</t>
  </si>
  <si>
    <t>CUST-1121</t>
  </si>
  <si>
    <t>ORD-1299</t>
  </si>
  <si>
    <t>CUST-1047</t>
  </si>
  <si>
    <t>ORD-1669</t>
  </si>
  <si>
    <t>ORD-1427</t>
  </si>
  <si>
    <t>ORD-1977</t>
  </si>
  <si>
    <t>ORD-1575</t>
  </si>
  <si>
    <t>ORD-1721</t>
  </si>
  <si>
    <t>CUST-1200</t>
  </si>
  <si>
    <t>ORD-1479</t>
  </si>
  <si>
    <t>CUST-1088</t>
  </si>
  <si>
    <t>Kavya Singh</t>
  </si>
  <si>
    <t>ORD-1660</t>
  </si>
  <si>
    <t>Aarav Gupta</t>
  </si>
  <si>
    <t>ORD-1208</t>
  </si>
  <si>
    <t>ORD-1392</t>
  </si>
  <si>
    <t>CUST-1129</t>
  </si>
  <si>
    <t>ORD-1058</t>
  </si>
  <si>
    <t>ORD-1171</t>
  </si>
  <si>
    <t>ORD-1253</t>
  </si>
  <si>
    <t>Sanjay Rao</t>
  </si>
  <si>
    <t>ORD-1874</t>
  </si>
  <si>
    <t>ORD-1744</t>
  </si>
  <si>
    <t>ORD-1997</t>
  </si>
  <si>
    <t>ORD-1646</t>
  </si>
  <si>
    <t>ORD-1854</t>
  </si>
  <si>
    <t>ORD-1018</t>
  </si>
  <si>
    <t>Asha Sharma</t>
  </si>
  <si>
    <t>ORD-1326</t>
  </si>
  <si>
    <t>ORD-1679</t>
  </si>
  <si>
    <t>ORD-1594</t>
  </si>
  <si>
    <t>CUST-1221</t>
  </si>
  <si>
    <t>ORD-1917</t>
  </si>
  <si>
    <t>ORD-1748</t>
  </si>
  <si>
    <t>ORD-1457</t>
  </si>
  <si>
    <t>ORD-1643</t>
  </si>
  <si>
    <t>ORD-1343</t>
  </si>
  <si>
    <t>ORD-1459</t>
  </si>
  <si>
    <t>ORD-1029</t>
  </si>
  <si>
    <t>CUST-1062</t>
  </si>
  <si>
    <t>ORD-1222</t>
  </si>
  <si>
    <t>ORD-1079</t>
  </si>
  <si>
    <t>Kavya Sharma</t>
  </si>
  <si>
    <t>ORD-1510</t>
  </si>
  <si>
    <t>CUST-1162</t>
  </si>
  <si>
    <t>ORD-1209</t>
  </si>
  <si>
    <t>ORD-1773</t>
  </si>
  <si>
    <t>CUST-1093</t>
  </si>
  <si>
    <t>ORD-1154</t>
  </si>
  <si>
    <t>ORD-1710</t>
  </si>
  <si>
    <t>CUST-1225</t>
  </si>
  <si>
    <t>ORD-1580</t>
  </si>
  <si>
    <t>ORD-1012</t>
  </si>
  <si>
    <t>ORD-1574</t>
  </si>
  <si>
    <t>Vikram Verma</t>
  </si>
  <si>
    <t>ORD-1246</t>
  </si>
  <si>
    <t>ORD-1899</t>
  </si>
  <si>
    <t>ORD-1976</t>
  </si>
  <si>
    <t>ORD-1224</t>
  </si>
  <si>
    <t>Meera Reddy</t>
  </si>
  <si>
    <t>ORD-1228</t>
  </si>
  <si>
    <t>ORD-1287</t>
  </si>
  <si>
    <t>Isha Rao</t>
  </si>
  <si>
    <t>ORD-1867</t>
  </si>
  <si>
    <t>CUST-1157</t>
  </si>
  <si>
    <t>ORD-1231</t>
  </si>
  <si>
    <t>CUST-1227</t>
  </si>
  <si>
    <t>ORD-1753</t>
  </si>
  <si>
    <t>ORD-1911</t>
  </si>
  <si>
    <t>ORD-1226</t>
  </si>
  <si>
    <t>ORD-1278</t>
  </si>
  <si>
    <t>CUST-1057</t>
  </si>
  <si>
    <t>ORD-1239</t>
  </si>
  <si>
    <t>Ananya Kumar</t>
  </si>
  <si>
    <t>ORD-1611</t>
  </si>
  <si>
    <t>CUST-1234</t>
  </si>
  <si>
    <t>ORD-1779</t>
  </si>
  <si>
    <t>ORD-1205</t>
  </si>
  <si>
    <t>ORD-1017</t>
  </si>
  <si>
    <t>ORD-1868</t>
  </si>
  <si>
    <t>CUST-1211</t>
  </si>
  <si>
    <t>ORD-1458</t>
  </si>
  <si>
    <t>ORD-1115</t>
  </si>
  <si>
    <t>CUST-1175</t>
  </si>
  <si>
    <t>ORD-1547</t>
  </si>
  <si>
    <t>CUST-1189</t>
  </si>
  <si>
    <t>Rohan Reddy</t>
  </si>
  <si>
    <t>ORD-1546</t>
  </si>
  <si>
    <t>Rohan Verma</t>
  </si>
  <si>
    <t>ORD-1338</t>
  </si>
  <si>
    <t>ORD-1126</t>
  </si>
  <si>
    <t>ORD-1869</t>
  </si>
  <si>
    <t>ORD-1402</t>
  </si>
  <si>
    <t>CUST-1171</t>
  </si>
  <si>
    <t>ORD-1765</t>
  </si>
  <si>
    <t>ORD-1442</t>
  </si>
  <si>
    <t>ORD-1270</t>
  </si>
  <si>
    <t>CUST-1149</t>
  </si>
  <si>
    <t>ORD-1839</t>
  </si>
  <si>
    <t>ORD-1420</t>
  </si>
  <si>
    <t>ORD-1512</t>
  </si>
  <si>
    <t>ORD-1793</t>
  </si>
  <si>
    <t>ORD-1650</t>
  </si>
  <si>
    <t>CUST-1004</t>
  </si>
  <si>
    <t>ORD-1301</t>
  </si>
  <si>
    <t>CUST-1006</t>
  </si>
  <si>
    <t>ORD-1378</t>
  </si>
  <si>
    <t>ORD-1692</t>
  </si>
  <si>
    <t>ORD-1840</t>
  </si>
  <si>
    <t>CUST-1247</t>
  </si>
  <si>
    <t>Pooja Rao</t>
  </si>
  <si>
    <t>ORD-1065</t>
  </si>
  <si>
    <t>ORD-1322</t>
  </si>
  <si>
    <t>ORD-1880</t>
  </si>
  <si>
    <t>CUST-1177</t>
  </si>
  <si>
    <t>ORD-1309</t>
  </si>
  <si>
    <t>ORD-1578</t>
  </si>
  <si>
    <t>CUST-1229</t>
  </si>
  <si>
    <t>ORD-1950</t>
  </si>
  <si>
    <t>ORD-1555</t>
  </si>
  <si>
    <t>ORD-1898</t>
  </si>
  <si>
    <t>CUST-1076</t>
  </si>
  <si>
    <t>ORD-1376</t>
  </si>
  <si>
    <t>ORD-1414</t>
  </si>
  <si>
    <t>CUST-1043</t>
  </si>
  <si>
    <t>ORD-1780</t>
  </si>
  <si>
    <t>ORD-1216</t>
  </si>
  <si>
    <t>Sneha Sharma</t>
  </si>
  <si>
    <t>ORD-1156</t>
  </si>
  <si>
    <t>ORD-1026</t>
  </si>
  <si>
    <t>ORD-1543</t>
  </si>
  <si>
    <t>CUST-1134</t>
  </si>
  <si>
    <t>ORD-1599</t>
  </si>
  <si>
    <t>ORD-1812</t>
  </si>
  <si>
    <t>ORD-1653</t>
  </si>
  <si>
    <t>ORD-1117</t>
  </si>
  <si>
    <t>ORD-1985</t>
  </si>
  <si>
    <t>ORD-1873</t>
  </si>
  <si>
    <t>CUST-1091</t>
  </si>
  <si>
    <t>Pooja Reddy</t>
  </si>
  <si>
    <t>ORD-1723</t>
  </si>
  <si>
    <t>ORD-1213</t>
  </si>
  <si>
    <t>CUST-1026</t>
  </si>
  <si>
    <t>ORD-1377</t>
  </si>
  <si>
    <t>ORD-1233</t>
  </si>
  <si>
    <t>ORD-1152</t>
  </si>
  <si>
    <t>Sneha Gupta</t>
  </si>
  <si>
    <t>ORD-1175</t>
  </si>
  <si>
    <t>ORD-1619</t>
  </si>
  <si>
    <t>ORD-1847</t>
  </si>
  <si>
    <t>ORD-1485</t>
  </si>
  <si>
    <t>Pooja Patel</t>
  </si>
  <si>
    <t>ORD-1019</t>
  </si>
  <si>
    <t>CUST-1054</t>
  </si>
  <si>
    <t>ORD-1852</t>
  </si>
  <si>
    <t>ORD-1887</t>
  </si>
  <si>
    <t>Isha Nair</t>
  </si>
  <si>
    <t>ORD-1188</t>
  </si>
  <si>
    <t>ORD-1195</t>
  </si>
  <si>
    <t>ORD-1397</t>
  </si>
  <si>
    <t>Nisha Kumar</t>
  </si>
  <si>
    <t>ORD-1268</t>
  </si>
  <si>
    <t>ORD-1157</t>
  </si>
  <si>
    <t>ORD-1201</t>
  </si>
  <si>
    <t>ORD-1958</t>
  </si>
  <si>
    <t>ORD-1324</t>
  </si>
  <si>
    <t>ORD-1265</t>
  </si>
  <si>
    <t>ORD-1347</t>
  </si>
  <si>
    <t>ORD-1919</t>
  </si>
  <si>
    <t>Manoj Reddy</t>
  </si>
  <si>
    <t>ORD-1465</t>
  </si>
  <si>
    <t>ORD-1072</t>
  </si>
  <si>
    <t>ORD-1681</t>
  </si>
  <si>
    <t>ORD-1211</t>
  </si>
  <si>
    <t>ORD-1404</t>
  </si>
  <si>
    <t>CUST-1022</t>
  </si>
  <si>
    <t>ORD-1733</t>
  </si>
  <si>
    <t>ORD-1149</t>
  </si>
  <si>
    <t>ORD-1928</t>
  </si>
  <si>
    <t>ORD-1161</t>
  </si>
  <si>
    <t>ORD-1033</t>
  </si>
  <si>
    <t>ORD-1220</t>
  </si>
  <si>
    <t>ORD-1618</t>
  </si>
  <si>
    <t>CUST-1014</t>
  </si>
  <si>
    <t>ORD-1192</t>
  </si>
  <si>
    <t>CUST-1178</t>
  </si>
  <si>
    <t>Ananya Verma</t>
  </si>
  <si>
    <t>ORD-1929</t>
  </si>
  <si>
    <t>ORD-1606</t>
  </si>
  <si>
    <t>ORD-1635</t>
  </si>
  <si>
    <t>ORD-1267</t>
  </si>
  <si>
    <t>ORD-1360</t>
  </si>
  <si>
    <t>ORD-1007</t>
  </si>
  <si>
    <t>Aarav Singh</t>
  </si>
  <si>
    <t>ORD-1934</t>
  </si>
  <si>
    <t>CUST-1160</t>
  </si>
  <si>
    <t>ORD-1945</t>
  </si>
  <si>
    <t>ORD-1148</t>
  </si>
  <si>
    <t>ORD-1131</t>
  </si>
  <si>
    <t>ORD-1151</t>
  </si>
  <si>
    <t>ORD-1940</t>
  </si>
  <si>
    <t>ORD-1778</t>
  </si>
  <si>
    <t>ORD-1429</t>
  </si>
  <si>
    <t>ORD-1907</t>
  </si>
  <si>
    <t>CUST-1051</t>
  </si>
  <si>
    <t>Aditya Sharma</t>
  </si>
  <si>
    <t>ORD-1770</t>
  </si>
  <si>
    <t>ORD-1191</t>
  </si>
  <si>
    <t>ORD-1554</t>
  </si>
  <si>
    <t>ORD-1855</t>
  </si>
  <si>
    <t>Aditya Verma</t>
  </si>
  <si>
    <t>ORD-1853</t>
  </si>
  <si>
    <t>ORD-1637</t>
  </si>
  <si>
    <t>ORD-1150</t>
  </si>
  <si>
    <t>ORD-1631</t>
  </si>
  <si>
    <t>ORD-1194</t>
  </si>
  <si>
    <t>ORD-1601</t>
  </si>
  <si>
    <t>ORD-1884</t>
  </si>
  <si>
    <t>ORD-1788</t>
  </si>
  <si>
    <t>ORD-1539</t>
  </si>
  <si>
    <t>Priya Singh</t>
  </si>
  <si>
    <t>ORD-1286</t>
  </si>
  <si>
    <t>CUST-1197</t>
  </si>
  <si>
    <t>ORD-1401</t>
  </si>
  <si>
    <t>ORD-1973</t>
  </si>
  <si>
    <t>ORD-1858</t>
  </si>
  <si>
    <t>ORD-1610</t>
  </si>
  <si>
    <t>ORD-1074</t>
  </si>
  <si>
    <t>ORD-1842</t>
  </si>
  <si>
    <t>CUST-1096</t>
  </si>
  <si>
    <t>ORD-1407</t>
  </si>
  <si>
    <t>ORD-1516</t>
  </si>
  <si>
    <t>ORD-1956</t>
  </si>
  <si>
    <t>ORD-1266</t>
  </si>
  <si>
    <t>ORD-1856</t>
  </si>
  <si>
    <t>ORD-1862</t>
  </si>
  <si>
    <t>ORD-1585</t>
  </si>
  <si>
    <t>ORD-1096</t>
  </si>
  <si>
    <t>ORD-1699</t>
  </si>
  <si>
    <t>ORD-1662</t>
  </si>
  <si>
    <t>ORD-1437</t>
  </si>
  <si>
    <t>CUST-1063</t>
  </si>
  <si>
    <t>ORD-1719</t>
  </si>
  <si>
    <t>ORD-1798</t>
  </si>
  <si>
    <t>ORD-1433</t>
  </si>
  <si>
    <t>ORD-1247</t>
  </si>
  <si>
    <t>Sanjay Verma</t>
  </si>
  <si>
    <t>ORD-1203</t>
  </si>
  <si>
    <t>ORD-1078</t>
  </si>
  <si>
    <t>CUST-1198</t>
  </si>
  <si>
    <t>ORD-1481</t>
  </si>
  <si>
    <t>ORD-1499</t>
  </si>
  <si>
    <t>ORD-1189</t>
  </si>
  <si>
    <t>ORD-1358</t>
  </si>
  <si>
    <t>ORD-1979</t>
  </si>
  <si>
    <t>Manoj Rao</t>
  </si>
  <si>
    <t>ORD-1039</t>
  </si>
  <si>
    <t>ORD-1615</t>
  </si>
  <si>
    <t>ORD-1357</t>
  </si>
  <si>
    <t>ORD-1339</t>
  </si>
  <si>
    <t>ORD-1014</t>
  </si>
  <si>
    <t>ORD-1418</t>
  </si>
  <si>
    <t>CUST-1033</t>
  </si>
  <si>
    <t>ORD-1379</t>
  </si>
  <si>
    <t>ORD-1006</t>
  </si>
  <si>
    <t>ORD-1166</t>
  </si>
  <si>
    <t>ORD-1607</t>
  </si>
  <si>
    <t>ORD-1521</t>
  </si>
  <si>
    <t>ORD-1345</t>
  </si>
  <si>
    <t>ORD-1043</t>
  </si>
  <si>
    <t>Aarav Rao</t>
  </si>
  <si>
    <t>ORD-1109</t>
  </si>
  <si>
    <t>ORD-1177</t>
  </si>
  <si>
    <t>ORD-1620</t>
  </si>
  <si>
    <t>ORD-1632</t>
  </si>
  <si>
    <t>ORD-1557</t>
  </si>
  <si>
    <t>CUST-1241</t>
  </si>
  <si>
    <t>ORD-1030</t>
  </si>
  <si>
    <t>ORD-1742</t>
  </si>
  <si>
    <t>ORD-1493</t>
  </si>
  <si>
    <t>ORD-1085</t>
  </si>
  <si>
    <t>ORD-1035</t>
  </si>
  <si>
    <t>ORD-1571</t>
  </si>
  <si>
    <t>Isha Gupta</t>
  </si>
  <si>
    <t>ORD-1436</t>
  </si>
  <si>
    <t>ORD-1640</t>
  </si>
  <si>
    <t>ORD-1430</t>
  </si>
  <si>
    <t>Priya Verma</t>
  </si>
  <si>
    <t>ORD-1503</t>
  </si>
  <si>
    <t>ORD-1675</t>
  </si>
  <si>
    <t>ORD-1015</t>
  </si>
  <si>
    <t>Ananya Das</t>
  </si>
  <si>
    <t>ORD-1825</t>
  </si>
  <si>
    <t>CUST-1080</t>
  </si>
  <si>
    <t>ORD-1933</t>
  </si>
  <si>
    <t>ORD-1507</t>
  </si>
  <si>
    <t>ORD-1443</t>
  </si>
  <si>
    <t>ORD-1016</t>
  </si>
  <si>
    <t>ORD-1092</t>
  </si>
  <si>
    <t>ORD-1913</t>
  </si>
  <si>
    <t>ORD-1776</t>
  </si>
  <si>
    <t>ORD-1121</t>
  </si>
  <si>
    <t>ORD-1652</t>
  </si>
  <si>
    <t>ORD-1462</t>
  </si>
  <si>
    <t>ORD-1596</t>
  </si>
  <si>
    <t>ORD-1736</t>
  </si>
  <si>
    <t>ORD-1275</t>
  </si>
  <si>
    <t>ORD-1508</t>
  </si>
  <si>
    <t>CUST-1150</t>
  </si>
  <si>
    <t>ORD-1584</t>
  </si>
  <si>
    <t>ORD-1745</t>
  </si>
  <si>
    <t>Pooja Verma</t>
  </si>
  <si>
    <t>ORD-1298</t>
  </si>
  <si>
    <t>ORD-1317</t>
  </si>
  <si>
    <t>CUST-1132</t>
  </si>
  <si>
    <t>ORD-1792</t>
  </si>
  <si>
    <t>ORD-1993</t>
  </si>
  <si>
    <t>CUST-1212</t>
  </si>
  <si>
    <t>ORD-1813</t>
  </si>
  <si>
    <t>ORD-1408</t>
  </si>
  <si>
    <t>ORD-1113</t>
  </si>
  <si>
    <t>CUST-1050</t>
  </si>
  <si>
    <t>ORD-1198</t>
  </si>
  <si>
    <t>ORD-1558</t>
  </si>
  <si>
    <t>ORD-1098</t>
  </si>
  <si>
    <t>ORD-1351</t>
  </si>
  <si>
    <t>ORD-1395</t>
  </si>
  <si>
    <t>CUST-1240</t>
  </si>
  <si>
    <t>Vikram Kumar</t>
  </si>
  <si>
    <t>ORD-1505</t>
  </si>
  <si>
    <t>ORD-1336</t>
  </si>
  <si>
    <t>ORD-1313</t>
  </si>
  <si>
    <t>ORD-1824</t>
  </si>
  <si>
    <t>ORD-1393</t>
  </si>
  <si>
    <t>Asha Nair</t>
  </si>
  <si>
    <t>ORD-1819</t>
  </si>
  <si>
    <t>ORD-1174</t>
  </si>
  <si>
    <t>ORD-1223</t>
  </si>
  <si>
    <t>ORD-1941</t>
  </si>
  <si>
    <t>ORD-1302</t>
  </si>
  <si>
    <t>ORD-1816</t>
  </si>
  <si>
    <t>ORD-1511</t>
  </si>
  <si>
    <t>ORD-1893</t>
  </si>
  <si>
    <t>ORD-1434</t>
  </si>
  <si>
    <t>ORD-1924</t>
  </si>
  <si>
    <t>ORD-1720</t>
  </si>
  <si>
    <t>Arjun Sharma</t>
  </si>
  <si>
    <t>ORD-1740</t>
  </si>
  <si>
    <t>ORD-1094</t>
  </si>
  <si>
    <t>ORD-1515</t>
  </si>
  <si>
    <t>ORD-1172</t>
  </si>
  <si>
    <t>ORD-1528</t>
  </si>
  <si>
    <t>ORD-1277</t>
  </si>
  <si>
    <t>ORD-1400</t>
  </si>
  <si>
    <t>ORD-1538</t>
  </si>
  <si>
    <t>ORD-1807</t>
  </si>
  <si>
    <t>ORD-1526</t>
  </si>
  <si>
    <t>ORD-1056</t>
  </si>
  <si>
    <t>ORD-1235</t>
  </si>
  <si>
    <t>ORD-1341</t>
  </si>
  <si>
    <t>ORD-1593</t>
  </si>
  <si>
    <t>ORD-1608</t>
  </si>
  <si>
    <t>ORD-1563</t>
  </si>
  <si>
    <t>ORD-1477</t>
  </si>
  <si>
    <t>ORD-1310</t>
  </si>
  <si>
    <t>ORD-1269</t>
  </si>
  <si>
    <t>CUST-1068</t>
  </si>
  <si>
    <t>ORD-1751</t>
  </si>
  <si>
    <t>ORD-1365</t>
  </si>
  <si>
    <t>ORD-1747</t>
  </si>
  <si>
    <t>ORD-1142</t>
  </si>
  <si>
    <t>ORD-1590</t>
  </si>
  <si>
    <t>ORD-1672</t>
  </si>
  <si>
    <t>ORD-1472</t>
  </si>
  <si>
    <t>ORD-1024</t>
  </si>
  <si>
    <t>ORD-1135</t>
  </si>
  <si>
    <t>ORD-1329</t>
  </si>
  <si>
    <t>ORD-1260</t>
  </si>
  <si>
    <t>ORD-1665</t>
  </si>
  <si>
    <t>ORD-1703</t>
  </si>
  <si>
    <t>CUST-1226</t>
  </si>
  <si>
    <t>ORD-1129</t>
  </si>
  <si>
    <t>ORD-1520</t>
  </si>
  <si>
    <t>CUST-1016</t>
  </si>
  <si>
    <t>ORD-1069</t>
  </si>
  <si>
    <t>ORD-1972</t>
  </si>
  <si>
    <t>ORD-1103</t>
  </si>
  <si>
    <t>ORD-1707</t>
  </si>
  <si>
    <t>ORD-1173</t>
  </si>
  <si>
    <t>ORD-1896</t>
  </si>
  <si>
    <t>ORD-1851</t>
  </si>
  <si>
    <t>ORD-1099</t>
  </si>
  <si>
    <t>ORD-1344</t>
  </si>
  <si>
    <t>ORD-1170</t>
  </si>
  <si>
    <t>ORD-1691</t>
  </si>
  <si>
    <t>ORD-1722</t>
  </si>
  <si>
    <t>ORD-1046</t>
  </si>
  <si>
    <t>ORD-1128</t>
  </si>
  <si>
    <t>ORD-1445</t>
  </si>
  <si>
    <t>ORD-1614</t>
  </si>
  <si>
    <t>ORD-1044</t>
  </si>
  <si>
    <t>CUST-1164</t>
  </si>
  <si>
    <t>Rahul Kumar</t>
  </si>
  <si>
    <t>ORD-1612</t>
  </si>
  <si>
    <t>ORD-1600</t>
  </si>
  <si>
    <t>ORD-1661</t>
  </si>
  <si>
    <t>ORD-1406</t>
  </si>
  <si>
    <t>ORD-1396</t>
  </si>
  <si>
    <t>ORD-1604</t>
  </si>
  <si>
    <t>CUST-1248</t>
  </si>
  <si>
    <t>ORD-1010</t>
  </si>
  <si>
    <t>Varun Patel</t>
  </si>
  <si>
    <t>ORD-1942</t>
  </si>
  <si>
    <t>ORD-1990</t>
  </si>
  <si>
    <t>ORD-1598</t>
  </si>
  <si>
    <t>ORD-1609</t>
  </si>
  <si>
    <t>ORD-1500</t>
  </si>
  <si>
    <t>Rahul Nair</t>
  </si>
  <si>
    <t>ORD-1764</t>
  </si>
  <si>
    <t>ORD-1738</t>
  </si>
  <si>
    <t>ORD-1732</t>
  </si>
  <si>
    <t>ORD-1576</t>
  </si>
  <si>
    <t>ORD-1821</t>
  </si>
  <si>
    <t>ORD-1784</t>
  </si>
  <si>
    <t>CUST-1041</t>
  </si>
  <si>
    <t>ORD-1553</t>
  </si>
  <si>
    <t>ORD-1734</t>
  </si>
  <si>
    <t>CUST-1107</t>
  </si>
  <si>
    <t>ORD-1383</t>
  </si>
  <si>
    <t>ORD-1291</t>
  </si>
  <si>
    <t>ORD-1517</t>
  </si>
  <si>
    <t>ORD-1591</t>
  </si>
  <si>
    <t>ORD-1068</t>
  </si>
  <si>
    <t>ORD-1108</t>
  </si>
  <si>
    <t>ORD-1417</t>
  </si>
  <si>
    <t>ORD-1570</t>
  </si>
  <si>
    <t>ORD-1959</t>
  </si>
  <si>
    <t>ORD-1674</t>
  </si>
  <si>
    <t>ORD-1908</t>
  </si>
  <si>
    <t>ORD-1492</t>
  </si>
  <si>
    <t>ORD-1316</t>
  </si>
  <si>
    <t>ORD-1363</t>
  </si>
  <si>
    <t>ORD-1372</t>
  </si>
  <si>
    <t>CUST-1048</t>
  </si>
  <si>
    <t>ORD-1054</t>
  </si>
  <si>
    <t>ORD-1589</t>
  </si>
  <si>
    <t>CUST-1138</t>
  </si>
  <si>
    <t>ORD-1961</t>
  </si>
  <si>
    <t>ORD-1667</t>
  </si>
  <si>
    <t>ORD-1938</t>
  </si>
  <si>
    <t>ORD-1245</t>
  </si>
  <si>
    <t>ORD-1104</t>
  </si>
  <si>
    <t>ORD-1361</t>
  </si>
  <si>
    <t>ORD-1951</t>
  </si>
  <si>
    <t>ORD-1180</t>
  </si>
  <si>
    <t>ORD-1678</t>
  </si>
  <si>
    <t>ORD-1994</t>
  </si>
  <si>
    <t>ORD-1818</t>
  </si>
  <si>
    <t>CUST-1152</t>
  </si>
  <si>
    <t>ORD-1314</t>
  </si>
  <si>
    <t>ORD-1306</t>
  </si>
  <si>
    <t>ORD-1293</t>
  </si>
  <si>
    <t>ORD-1654</t>
  </si>
  <si>
    <t>ORD-1087</t>
  </si>
  <si>
    <t>ORD-1342</t>
  </si>
  <si>
    <t>ORD-1986</t>
  </si>
  <si>
    <t>ORD-1700</t>
  </si>
  <si>
    <t>Rahul Sharma</t>
  </si>
  <si>
    <t>ORD-1062</t>
  </si>
  <si>
    <t>ORD-1687</t>
  </si>
  <si>
    <t>ORD-1783</t>
  </si>
  <si>
    <t>ORD-1290</t>
  </si>
  <si>
    <t>ORD-1285</t>
  </si>
  <si>
    <t>ORD-1155</t>
  </si>
  <si>
    <t>ORD-1562</t>
  </si>
  <si>
    <t>ORD-1768</t>
  </si>
  <si>
    <t>ORD-1655</t>
  </si>
  <si>
    <t>ORD-1423</t>
  </si>
  <si>
    <t>ORD-1960</t>
  </si>
  <si>
    <t>CUST-1140</t>
  </si>
  <si>
    <t>ORD-1184</t>
  </si>
  <si>
    <t>ORD-1133</t>
  </si>
  <si>
    <t>ORD-1889</t>
  </si>
  <si>
    <t>ORD-1051</t>
  </si>
  <si>
    <t>ORD-1410</t>
  </si>
  <si>
    <t>ORD-1040</t>
  </si>
  <si>
    <t>ORD-1438</t>
  </si>
  <si>
    <t>ORD-1567</t>
  </si>
  <si>
    <t>ORD-1548</t>
  </si>
  <si>
    <t>ORD-1159</t>
  </si>
  <si>
    <t>ORD-1369</t>
  </si>
  <si>
    <t>ORD-1790</t>
  </si>
  <si>
    <t>ORD-1696</t>
  </si>
  <si>
    <t>ORD-1116</t>
  </si>
  <si>
    <t>ORD-1176</t>
  </si>
  <si>
    <t>ORD-1514</t>
  </si>
  <si>
    <t>ORD-1746</t>
  </si>
  <si>
    <t>ORD-1482</t>
  </si>
  <si>
    <t>ORD-1881</t>
  </si>
  <si>
    <t>ORD-1502</t>
  </si>
  <si>
    <t>ORD-1970</t>
  </si>
  <si>
    <t>CUST-1145</t>
  </si>
  <si>
    <t>ORD-1049</t>
  </si>
  <si>
    <t>ORD-1187</t>
  </si>
  <si>
    <t>ORD-1806</t>
  </si>
  <si>
    <t>ORD-1398</t>
  </si>
  <si>
    <t>ORD-1428</t>
  </si>
  <si>
    <t>ORD-1163</t>
  </si>
  <si>
    <t>ORD-1244</t>
  </si>
  <si>
    <t>ORD-1716</t>
  </si>
  <si>
    <t>ORD-1146</t>
  </si>
  <si>
    <t>ORD-1996</t>
  </si>
  <si>
    <t>ORD-1464</t>
  </si>
  <si>
    <t>ORD-1439</t>
  </si>
  <si>
    <t>ORD-1256</t>
  </si>
  <si>
    <t>ORD-1999</t>
  </si>
  <si>
    <t>ORD-1081</t>
  </si>
  <si>
    <t>ORD-1550</t>
  </si>
  <si>
    <t>ORD-1319</t>
  </si>
  <si>
    <t>ORD-1525</t>
  </si>
  <si>
    <t>ORD-1682</t>
  </si>
  <si>
    <t>ORD-1218</t>
  </si>
  <si>
    <t>ORD-1197</t>
  </si>
  <si>
    <t>ORD-1750</t>
  </si>
  <si>
    <t>ORD-1215</t>
  </si>
  <si>
    <t>ORD-2000</t>
  </si>
  <si>
    <t>ORD-1623</t>
  </si>
  <si>
    <t>ORD-1089</t>
  </si>
  <si>
    <t>ORD-1374</t>
  </si>
  <si>
    <t>ORD-1647</t>
  </si>
  <si>
    <t>ORD-1005</t>
  </si>
  <si>
    <t>ORD-1794</t>
  </si>
  <si>
    <t>ORD-1627</t>
  </si>
  <si>
    <t>ORD-1658</t>
  </si>
  <si>
    <t>ORD-1688</t>
  </si>
  <si>
    <t>ORD-1147</t>
  </si>
  <si>
    <t>ORD-1292</t>
  </si>
  <si>
    <t>ORD-1118</t>
  </si>
  <si>
    <t>ORD-1843</t>
  </si>
  <si>
    <t>ORD-1769</t>
  </si>
  <si>
    <t>ORD-1460</t>
  </si>
  <si>
    <t>CUST-1117</t>
  </si>
  <si>
    <t>ORD-1767</t>
  </si>
  <si>
    <t>ORD-1901</t>
  </si>
  <si>
    <t>ORD-1693</t>
  </si>
  <si>
    <t>ORD-1888</t>
  </si>
  <si>
    <t>ORD-1671</t>
  </si>
  <si>
    <t>ORD-1946</t>
  </si>
  <si>
    <t>ORD-1112</t>
  </si>
  <si>
    <t>ORD-1988</t>
  </si>
  <si>
    <t>ORD-1903</t>
  </si>
  <si>
    <t>CUST-1097</t>
  </si>
  <si>
    <t>ORD-1023</t>
  </si>
  <si>
    <t>ORD-1781</t>
  </si>
  <si>
    <t>ORD-1381</t>
  </si>
  <si>
    <t>ORD-1902</t>
  </si>
  <si>
    <t>ORD-1900</t>
  </si>
  <si>
    <t>ORD-1685</t>
  </si>
  <si>
    <t>ORD-1905</t>
  </si>
  <si>
    <t>ORD-1705</t>
  </si>
  <si>
    <t>ORD-1786</t>
  </si>
  <si>
    <t>ORD-1664</t>
  </si>
  <si>
    <t>ORD-1168</t>
  </si>
  <si>
    <t>ORD-1349</t>
  </si>
  <si>
    <t>ORD-1107</t>
  </si>
  <si>
    <t>ORD-1053</t>
  </si>
  <si>
    <t>ORD-1080</t>
  </si>
  <si>
    <t>CUST-1144</t>
  </si>
  <si>
    <t>ORD-1963</t>
  </si>
  <si>
    <t>ORD-1504</t>
  </si>
  <si>
    <t>ORD-1706</t>
  </si>
  <si>
    <t>CUST-1244</t>
  </si>
  <si>
    <t>ORD-1677</t>
  </si>
  <si>
    <t>ORD-1350</t>
  </si>
  <si>
    <t>ORD-1050</t>
  </si>
  <si>
    <t>ORD-1453</t>
  </si>
  <si>
    <t>ORD-1569</t>
  </si>
  <si>
    <t>ORD-1519</t>
  </si>
  <si>
    <t>ORD-1204</t>
  </si>
  <si>
    <t>ORD-1280</t>
  </si>
  <si>
    <t>ORD-1987</t>
  </si>
  <si>
    <t>ORD-1144</t>
  </si>
  <si>
    <t>ORD-1850</t>
  </si>
  <si>
    <t>ORD-1641</t>
  </si>
  <si>
    <t>ORD-1390</t>
  </si>
  <si>
    <t>ORD-1083</t>
  </si>
  <si>
    <t>ORD-1153</t>
  </si>
  <si>
    <t>ORD-1158</t>
  </si>
  <si>
    <t>ORD-1774</t>
  </si>
  <si>
    <t>ORD-1090</t>
  </si>
  <si>
    <t>ORD-1251</t>
  </si>
  <si>
    <t>ORD-1327</t>
  </si>
  <si>
    <t>ORD-1498</t>
  </si>
  <si>
    <t>ORD-1969</t>
  </si>
  <si>
    <t>ORD-1476</t>
  </si>
  <si>
    <t>ORD-1353</t>
  </si>
  <si>
    <t>ORD-1949</t>
  </si>
  <si>
    <t>CUST-1015</t>
  </si>
  <si>
    <t>ORD-1242</t>
  </si>
  <si>
    <t>ORD-1331</t>
  </si>
  <si>
    <t>ORD-1739</t>
  </si>
  <si>
    <t>ORD-1666</t>
  </si>
  <si>
    <t>ORD-1509</t>
  </si>
  <si>
    <t>ORD-1737</t>
  </si>
  <si>
    <t>ORD-1463</t>
  </si>
  <si>
    <t>ORD-1025</t>
  </si>
  <si>
    <t>ORD-1315</t>
  </si>
  <si>
    <t>ORD-1415</t>
  </si>
  <si>
    <t>ORD-1625</t>
  </si>
  <si>
    <t>ORD-1795</t>
  </si>
  <si>
    <t>ORD-1730</t>
  </si>
  <si>
    <t>CUST-1087</t>
  </si>
  <si>
    <t>ORD-1467</t>
  </si>
  <si>
    <t>ORD-1886</t>
  </si>
  <si>
    <t>ORD-1651</t>
  </si>
  <si>
    <t>ORD-1883</t>
  </si>
  <si>
    <t>ORD-1249</t>
  </si>
  <si>
    <t>ORD-1447</t>
  </si>
  <si>
    <t>CUST-1052</t>
  </si>
  <si>
    <t>ORD-1413</t>
  </si>
  <si>
    <t>ORD-1860</t>
  </si>
  <si>
    <t>CUST-1176</t>
  </si>
  <si>
    <t>ORD-1356</t>
  </si>
  <si>
    <t>ORD-1495</t>
  </si>
  <si>
    <t>ORD-1617</t>
  </si>
  <si>
    <t>ORD-1822</t>
  </si>
  <si>
    <t>ORD-1489</t>
  </si>
  <si>
    <t>ORD-1513</t>
  </si>
  <si>
    <t>ORD-1592</t>
  </si>
  <si>
    <t>ORD-1217</t>
  </si>
  <si>
    <t>Rohan Nair</t>
  </si>
  <si>
    <t>ORD-1725</t>
  </si>
  <si>
    <t>ORD-1992</t>
  </si>
  <si>
    <t>ORD-1624</t>
  </si>
  <si>
    <t>ORD-1308</t>
  </si>
  <si>
    <t>ORD-1091</t>
  </si>
  <si>
    <t>ORD-1252</t>
  </si>
  <si>
    <t>ORD-1225</t>
  </si>
  <si>
    <t>ORD-1935</t>
  </si>
  <si>
    <t>ORD-1334</t>
  </si>
  <si>
    <t>CUST-1183</t>
  </si>
  <si>
    <t>ORD-1132</t>
  </si>
  <si>
    <t>ORD-1165</t>
  </si>
  <si>
    <t>ORD-1027</t>
  </si>
  <si>
    <t>ORD-1124</t>
  </si>
  <si>
    <t>ORD-1882</t>
  </si>
  <si>
    <t>ORD-1323</t>
  </si>
  <si>
    <t>ORD-1382</t>
  </si>
  <si>
    <t>ORD-1559</t>
  </si>
  <si>
    <t>ORD-1921</t>
  </si>
  <si>
    <t>ORD-1003</t>
  </si>
  <si>
    <t>ORD-1388</t>
  </si>
  <si>
    <t>CUST-1199</t>
  </si>
  <si>
    <t>ORD-1022</t>
  </si>
  <si>
    <t>ORD-1312</t>
  </si>
  <si>
    <t>ORD-1927</t>
  </si>
  <si>
    <t>ORD-1328</t>
  </si>
  <si>
    <t>ORD-1130</t>
  </si>
  <si>
    <t>ORD-1076</t>
  </si>
  <si>
    <t>ORD-1335</t>
  </si>
  <si>
    <t>ORD-1644</t>
  </si>
  <si>
    <t>ORD-1262</t>
  </si>
  <si>
    <t>ORD-1967</t>
  </si>
  <si>
    <t>ORD-1237</t>
  </si>
  <si>
    <t>ORD-1067</t>
  </si>
  <si>
    <t>ORD-1311</t>
  </si>
  <si>
    <t>ORD-1634</t>
  </si>
  <si>
    <t>ORD-1082</t>
  </si>
  <si>
    <t>ORD-1241</t>
  </si>
  <si>
    <t>ORD-1532</t>
  </si>
  <si>
    <t>ORD-1587</t>
  </si>
  <si>
    <t>ORD-1212</t>
  </si>
  <si>
    <t>ORD-1271</t>
  </si>
  <si>
    <t>ORD-1735</t>
  </si>
  <si>
    <t>ORD-1032</t>
  </si>
  <si>
    <t>Priya Patel</t>
  </si>
  <si>
    <t>ORD-1486</t>
  </si>
  <si>
    <t>ORD-1134</t>
  </si>
  <si>
    <t>ORD-1683</t>
  </si>
  <si>
    <t>ORD-1289</t>
  </si>
  <si>
    <t>ORD-1871</t>
  </si>
  <si>
    <t>ORD-1238</t>
  </si>
  <si>
    <t>ORD-1731</t>
  </si>
  <si>
    <t>ORD-1448</t>
  </si>
  <si>
    <t>ORD-1978</t>
  </si>
  <si>
    <t>ORD-1207</t>
  </si>
  <si>
    <t>ORD-1425</t>
  </si>
  <si>
    <t>ORD-1568</t>
  </si>
  <si>
    <t>ORD-1483</t>
  </si>
  <si>
    <t>ORD-1084</t>
  </si>
  <si>
    <t>ORD-1305</t>
  </si>
  <si>
    <t>ORD-1034</t>
  </si>
  <si>
    <t>ORD-1294</t>
  </si>
  <si>
    <t>ORD-1690</t>
  </si>
  <si>
    <t>ORD-1583</t>
  </si>
  <si>
    <t>ORD-1603</t>
  </si>
  <si>
    <t>ORD-1274</t>
  </si>
  <si>
    <t>ORD-1371</t>
  </si>
  <si>
    <t>ORD-1912</t>
  </si>
  <si>
    <t>ORD-1718</t>
  </si>
  <si>
    <t>ORD-1948</t>
  </si>
  <si>
    <t>ORD-1701</t>
  </si>
  <si>
    <t>ORD-1861</t>
  </si>
  <si>
    <t>ORD-1820</t>
  </si>
  <si>
    <t>ORD-1455</t>
  </si>
  <si>
    <t>ORD-1403</t>
  </si>
  <si>
    <t>ORD-1797</t>
  </si>
  <si>
    <t>ORD-1636</t>
  </si>
  <si>
    <t>ORD-1452</t>
  </si>
  <si>
    <t>ORD-1389</t>
  </si>
  <si>
    <t>ORD-1297</t>
  </si>
  <si>
    <t>ORD-1454</t>
  </si>
  <si>
    <t>ORD-1281</t>
  </si>
  <si>
    <t>ORD-1182</t>
  </si>
  <si>
    <t>ORD-1490</t>
  </si>
  <si>
    <t>ORD-1367</t>
  </si>
  <si>
    <t>ORD-1785</t>
  </si>
  <si>
    <t>ORD-1359</t>
  </si>
  <si>
    <t>ORD-1416</t>
  </si>
  <si>
    <t>ORD-1657</t>
  </si>
  <si>
    <t>ORD-1020</t>
  </si>
  <si>
    <t>ORD-1325</t>
  </si>
  <si>
    <t>ORD-1966</t>
  </si>
  <si>
    <t>ORD-1931</t>
  </si>
  <si>
    <t>ORD-1352</t>
  </si>
  <si>
    <t>ORD-1757</t>
  </si>
  <si>
    <t>ORD-1048</t>
  </si>
  <si>
    <t>ORD-1689</t>
  </si>
  <si>
    <t>ORD-1380</t>
  </si>
  <si>
    <t>ORD-1484</t>
  </si>
  <si>
    <t>ORD-1136</t>
  </si>
  <si>
    <t>ORD-1232</t>
  </si>
  <si>
    <t>ORD-1041</t>
  </si>
  <si>
    <t>ORD-1649</t>
  </si>
  <si>
    <t>ORD-1530</t>
  </si>
  <si>
    <t>ORD-1478</t>
  </si>
  <si>
    <t>ORD-1419</t>
  </si>
  <si>
    <t>ORD-1391</t>
  </si>
  <si>
    <t>ORD-1102</t>
  </si>
  <si>
    <t>ORD-1711</t>
  </si>
  <si>
    <t>ORD-1300</t>
  </si>
  <si>
    <t>ORD-1582</t>
  </si>
  <si>
    <t>ORD-1227</t>
  </si>
  <si>
    <t>ORD-1760</t>
  </si>
  <si>
    <t>ORD-1320</t>
  </si>
  <si>
    <t>ORD-1421</t>
  </si>
  <si>
    <t>ORD-1930</t>
  </si>
  <si>
    <t>ORD-1411</t>
  </si>
  <si>
    <t>ORD-1440</t>
  </si>
  <si>
    <t>ORD-1409</t>
  </si>
  <si>
    <t>ORD-1384</t>
  </si>
  <si>
    <t>ORD-1234</t>
  </si>
  <si>
    <t>ORD-1815</t>
  </si>
  <si>
    <t>ORD-1702</t>
  </si>
  <si>
    <t>ORD-1845</t>
  </si>
  <si>
    <t>ORD-1638</t>
  </si>
  <si>
    <t>ORD-1111</t>
  </si>
  <si>
    <t>ORD-1639</t>
  </si>
  <si>
    <t>ORD-1230</t>
  </si>
  <si>
    <t>ORD-1864</t>
  </si>
  <si>
    <t>ORD-1370</t>
  </si>
  <si>
    <t>ORD-1909</t>
  </si>
  <si>
    <t>ORD-1125</t>
  </si>
  <si>
    <t>ORD-1848</t>
  </si>
  <si>
    <t>ORD-1895</t>
  </si>
  <si>
    <t>ORD-1621</t>
  </si>
  <si>
    <t>ORD-1105</t>
  </si>
  <si>
    <t>ORD-1441</t>
  </si>
  <si>
    <t>ORD-1523</t>
  </si>
  <si>
    <t>ORD-1965</t>
  </si>
  <si>
    <t>ORD-1009</t>
  </si>
  <si>
    <t>CUST-1027</t>
  </si>
  <si>
    <t>ORD-1891</t>
  </si>
  <si>
    <t>ORD-1181</t>
  </si>
  <si>
    <t>ORD-1185</t>
  </si>
  <si>
    <t>ORD-1549</t>
  </si>
  <si>
    <t>ORD-1974</t>
  </si>
  <si>
    <t>ORD-1073</t>
  </si>
  <si>
    <t>ORD-1138</t>
  </si>
  <si>
    <t>ORD-1426</t>
  </si>
  <si>
    <t>ORD-1561</t>
  </si>
  <si>
    <t>ORD-1602</t>
  </si>
  <si>
    <t>ORD-1202</t>
  </si>
  <si>
    <t>ORD-1586</t>
  </si>
  <si>
    <t>ORD-1577</t>
  </si>
  <si>
    <t>CUST-1130</t>
  </si>
  <si>
    <t>ORD-1772</t>
  </si>
  <si>
    <t>ORD-1095</t>
  </si>
  <si>
    <t>ORD-1387</t>
  </si>
  <si>
    <t>ORD-1827</t>
  </si>
  <si>
    <t>ORD-1186</t>
  </si>
  <si>
    <t>ORD-1061</t>
  </si>
  <si>
    <t>ORD-1782</t>
  </si>
  <si>
    <t>Row Labels</t>
  </si>
  <si>
    <t>Grand Total</t>
  </si>
  <si>
    <t>Sum of Sales</t>
  </si>
  <si>
    <t>Sum of Profit</t>
  </si>
  <si>
    <t>Jan</t>
  </si>
  <si>
    <t>Feb</t>
  </si>
  <si>
    <t>Mar</t>
  </si>
  <si>
    <t>Apr</t>
  </si>
  <si>
    <t>May</t>
  </si>
  <si>
    <t>Jun</t>
  </si>
  <si>
    <t>Jul</t>
  </si>
  <si>
    <t>Aug</t>
  </si>
  <si>
    <t>Sep</t>
  </si>
  <si>
    <t>Oct</t>
  </si>
  <si>
    <t>Nov</t>
  </si>
  <si>
    <t>Dec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</si>
</sst>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sz val="11"/>
      <color theme="1"/>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9" fontId="1" fillId="0" borderId="0" applyFont="0" applyFill="0" applyBorder="0" applyAlignment="0" applyProtection="0"/>
  </cellStyleXfs>
  <cellXfs count="6">
    <xf numFmtId="0" fontId="0" fillId="0" borderId="0" xfId="0"/>
    <xf numFmtId="14" fontId="0" fillId="0" borderId="0" xfId="0" applyNumberFormat="1"/>
    <xf numFmtId="2" fontId="0" fillId="0" borderId="0" xfId="0" applyNumberFormat="1"/>
    <xf numFmtId="0" fontId="0" fillId="0" borderId="0" xfId="0" pivotButton="1"/>
    <xf numFmtId="0" fontId="0" fillId="0" borderId="0" xfId="0" applyAlignment="1">
      <alignment horizontal="left"/>
    </xf>
    <xf numFmtId="10" fontId="0" fillId="0" borderId="0" xfId="1" applyNumberFormat="1" applyFont="1"/>
  </cellXfs>
  <cellStyles count="2">
    <cellStyle name="Normal" xfId="0" builtinId="0"/>
    <cellStyle name="Percent" xfId="1" builtinId="5"/>
  </cellStyles>
  <dxfs count="12">
    <dxf>
      <numFmt numFmtId="2" formatCode="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microsoft.com/office/2017/10/relationships/person" Target="persons/perso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5" Type="http://schemas.openxmlformats.org/officeDocument/2006/relationships/customXml" Target="../customXml/item1.xml"/><Relationship Id="rId10"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[sales_dashboard.xlsx]pivottables!salesbyregion</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Sales</a:t>
            </a:r>
            <a:r>
              <a:rPr lang="en-US" b="1" baseline="0"/>
              <a:t> By Region</a:t>
            </a:r>
            <a:endParaRPr lang="en-US" b="1"/>
          </a:p>
        </c:rich>
      </c:tx>
      <c:layout>
        <c:manualLayout>
          <c:xMode val="edge"/>
          <c:yMode val="edge"/>
          <c:x val="0.37146196796369285"/>
          <c:y val="7.965204409187884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pivottables!$B$3</c:f>
              <c:strCache>
                <c:ptCount val="1"/>
                <c:pt idx="0">
                  <c:v>Total</c:v>
                </c:pt>
              </c:strCache>
            </c:strRef>
          </c:tx>
          <c:spPr>
            <a:solidFill>
              <a:schemeClr val="accent1"/>
            </a:solidFill>
            <a:ln>
              <a:noFill/>
            </a:ln>
            <a:effectLst/>
          </c:spPr>
          <c:invertIfNegative val="0"/>
          <c:cat>
            <c:strRef>
              <c:f>pivottables!$A$4:$A$8</c:f>
              <c:strCache>
                <c:ptCount val="4"/>
                <c:pt idx="0">
                  <c:v>East</c:v>
                </c:pt>
                <c:pt idx="1">
                  <c:v>North</c:v>
                </c:pt>
                <c:pt idx="2">
                  <c:v>South</c:v>
                </c:pt>
                <c:pt idx="3">
                  <c:v>West</c:v>
                </c:pt>
              </c:strCache>
            </c:strRef>
          </c:cat>
          <c:val>
            <c:numRef>
              <c:f>pivottables!$B$4:$B$8</c:f>
              <c:numCache>
                <c:formatCode>0.00</c:formatCode>
                <c:ptCount val="4"/>
                <c:pt idx="0">
                  <c:v>10776845.419999996</c:v>
                </c:pt>
                <c:pt idx="1">
                  <c:v>7942869.8100000061</c:v>
                </c:pt>
                <c:pt idx="2">
                  <c:v>18630482.839999989</c:v>
                </c:pt>
                <c:pt idx="3">
                  <c:v>13731625.270000001</c:v>
                </c:pt>
              </c:numCache>
            </c:numRef>
          </c:val>
          <c:extLst>
            <c:ext xmlns:c16="http://schemas.microsoft.com/office/drawing/2014/chart" uri="{C3380CC4-5D6E-409C-BE32-E72D297353CC}">
              <c16:uniqueId val="{00000000-45A0-4582-B5EC-B184C81AB113}"/>
            </c:ext>
          </c:extLst>
        </c:ser>
        <c:dLbls>
          <c:showLegendKey val="0"/>
          <c:showVal val="0"/>
          <c:showCatName val="0"/>
          <c:showSerName val="0"/>
          <c:showPercent val="0"/>
          <c:showBubbleSize val="0"/>
        </c:dLbls>
        <c:gapWidth val="219"/>
        <c:overlap val="-27"/>
        <c:axId val="1963227839"/>
        <c:axId val="1763798191"/>
      </c:barChart>
      <c:catAx>
        <c:axId val="196322783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3798191"/>
        <c:crosses val="autoZero"/>
        <c:auto val="1"/>
        <c:lblAlgn val="ctr"/>
        <c:lblOffset val="100"/>
        <c:noMultiLvlLbl val="0"/>
      </c:catAx>
      <c:valAx>
        <c:axId val="1763798191"/>
        <c:scaling>
          <c:orientation val="minMax"/>
        </c:scaling>
        <c:delete val="0"/>
        <c:axPos val="l"/>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32278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[sales_dashboard.xlsx]pivottables!salesbycategory</c:name>
    <c:fmtId val="3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Sales</a:t>
            </a:r>
            <a:r>
              <a:rPr lang="en-IN" b="1" baseline="0"/>
              <a:t> By Category</a:t>
            </a:r>
            <a:endParaRPr lang="en-IN" b="1"/>
          </a:p>
        </c:rich>
      </c:tx>
      <c:layout>
        <c:manualLayout>
          <c:xMode val="edge"/>
          <c:yMode val="edge"/>
          <c:x val="0.33937153829137978"/>
          <c:y val="7.319689161834103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5570193583288053"/>
          <c:y val="0.26693694336980461"/>
          <c:w val="0.7076894147947711"/>
          <c:h val="0.58885102291888913"/>
        </c:manualLayout>
      </c:layout>
      <c:barChart>
        <c:barDir val="col"/>
        <c:grouping val="clustered"/>
        <c:varyColors val="0"/>
        <c:ser>
          <c:idx val="0"/>
          <c:order val="0"/>
          <c:tx>
            <c:strRef>
              <c:f>pivottables!$B$13</c:f>
              <c:strCache>
                <c:ptCount val="1"/>
                <c:pt idx="0">
                  <c:v>Total</c:v>
                </c:pt>
              </c:strCache>
            </c:strRef>
          </c:tx>
          <c:spPr>
            <a:solidFill>
              <a:schemeClr val="accent1"/>
            </a:solidFill>
            <a:ln>
              <a:noFill/>
            </a:ln>
            <a:effectLst/>
          </c:spPr>
          <c:invertIfNegative val="0"/>
          <c:cat>
            <c:strRef>
              <c:f>pivottables!$A$14:$A$17</c:f>
              <c:strCache>
                <c:ptCount val="3"/>
                <c:pt idx="0">
                  <c:v>Furniture</c:v>
                </c:pt>
                <c:pt idx="1">
                  <c:v>Office Supplies</c:v>
                </c:pt>
                <c:pt idx="2">
                  <c:v>Technology</c:v>
                </c:pt>
              </c:strCache>
            </c:strRef>
          </c:cat>
          <c:val>
            <c:numRef>
              <c:f>pivottables!$B$14:$B$17</c:f>
              <c:numCache>
                <c:formatCode>0.00</c:formatCode>
                <c:ptCount val="3"/>
                <c:pt idx="0">
                  <c:v>10047213.869999997</c:v>
                </c:pt>
                <c:pt idx="1">
                  <c:v>414876.62000000005</c:v>
                </c:pt>
                <c:pt idx="2">
                  <c:v>40619732.850000001</c:v>
                </c:pt>
              </c:numCache>
            </c:numRef>
          </c:val>
          <c:extLst>
            <c:ext xmlns:c16="http://schemas.microsoft.com/office/drawing/2014/chart" uri="{C3380CC4-5D6E-409C-BE32-E72D297353CC}">
              <c16:uniqueId val="{00000000-8AB5-495F-BEA7-9020F786F16D}"/>
            </c:ext>
          </c:extLst>
        </c:ser>
        <c:dLbls>
          <c:showLegendKey val="0"/>
          <c:showVal val="0"/>
          <c:showCatName val="0"/>
          <c:showSerName val="0"/>
          <c:showPercent val="0"/>
          <c:showBubbleSize val="0"/>
        </c:dLbls>
        <c:gapWidth val="219"/>
        <c:overlap val="-27"/>
        <c:axId val="1914433631"/>
        <c:axId val="1763727151"/>
      </c:barChart>
      <c:catAx>
        <c:axId val="19144336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3727151"/>
        <c:crosses val="autoZero"/>
        <c:auto val="1"/>
        <c:lblAlgn val="ctr"/>
        <c:lblOffset val="100"/>
        <c:noMultiLvlLbl val="0"/>
      </c:catAx>
      <c:valAx>
        <c:axId val="1763727151"/>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44336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[sales_dashboard.xlsx]pivottables!salesbymonth</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Sales</a:t>
            </a:r>
            <a:r>
              <a:rPr lang="en-IN" b="1" baseline="0"/>
              <a:t> By Month</a:t>
            </a:r>
            <a:endParaRPr lang="en-IN" b="1"/>
          </a:p>
        </c:rich>
      </c:tx>
      <c:layout>
        <c:manualLayout>
          <c:xMode val="edge"/>
          <c:yMode val="edge"/>
          <c:x val="0.36991020551355169"/>
          <c:y val="5.877301965232727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7512598425196849"/>
          <c:y val="0.21226398820288805"/>
          <c:w val="0.67286461532733943"/>
          <c:h val="0.48465064811057645"/>
        </c:manualLayout>
      </c:layout>
      <c:lineChart>
        <c:grouping val="standard"/>
        <c:varyColors val="0"/>
        <c:ser>
          <c:idx val="0"/>
          <c:order val="0"/>
          <c:tx>
            <c:strRef>
              <c:f>pivottables!$B$23</c:f>
              <c:strCache>
                <c:ptCount val="1"/>
                <c:pt idx="0">
                  <c:v>Total</c:v>
                </c:pt>
              </c:strCache>
            </c:strRef>
          </c:tx>
          <c:spPr>
            <a:ln w="28575" cap="rnd">
              <a:solidFill>
                <a:schemeClr val="accent1"/>
              </a:solidFill>
              <a:round/>
            </a:ln>
            <a:effectLst/>
          </c:spPr>
          <c:marker>
            <c:symbol val="none"/>
          </c:marker>
          <c:cat>
            <c:strRef>
              <c:f>pivottables!$A$24:$A$36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pivottables!$B$24:$B$36</c:f>
              <c:numCache>
                <c:formatCode>0.00</c:formatCode>
                <c:ptCount val="12"/>
                <c:pt idx="0">
                  <c:v>5527661.1499999994</c:v>
                </c:pt>
                <c:pt idx="1">
                  <c:v>4577928.51</c:v>
                </c:pt>
                <c:pt idx="2">
                  <c:v>3885764.5000000009</c:v>
                </c:pt>
                <c:pt idx="3">
                  <c:v>4300007.1099999994</c:v>
                </c:pt>
                <c:pt idx="4">
                  <c:v>3509116.62</c:v>
                </c:pt>
                <c:pt idx="5">
                  <c:v>2841663.5</c:v>
                </c:pt>
                <c:pt idx="6">
                  <c:v>3075965.3</c:v>
                </c:pt>
                <c:pt idx="7">
                  <c:v>5604318.9499999993</c:v>
                </c:pt>
                <c:pt idx="8">
                  <c:v>4323384.51</c:v>
                </c:pt>
                <c:pt idx="9">
                  <c:v>3671857.42</c:v>
                </c:pt>
                <c:pt idx="10">
                  <c:v>4221691.8599999994</c:v>
                </c:pt>
                <c:pt idx="11">
                  <c:v>5542463.9099999983</c:v>
                </c:pt>
              </c:numCache>
            </c:numRef>
          </c:val>
          <c:smooth val="0"/>
          <c:extLst>
            <c:ext xmlns:c16="http://schemas.microsoft.com/office/drawing/2014/chart" uri="{C3380CC4-5D6E-409C-BE32-E72D297353CC}">
              <c16:uniqueId val="{00000000-5943-456B-A09B-D39853A652ED}"/>
            </c:ext>
          </c:extLst>
        </c:ser>
        <c:dLbls>
          <c:showLegendKey val="0"/>
          <c:showVal val="0"/>
          <c:showCatName val="0"/>
          <c:showSerName val="0"/>
          <c:showPercent val="0"/>
          <c:showBubbleSize val="0"/>
        </c:dLbls>
        <c:smooth val="0"/>
        <c:axId val="2011133167"/>
        <c:axId val="1763746351"/>
      </c:lineChart>
      <c:catAx>
        <c:axId val="20111331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3746351"/>
        <c:crosses val="autoZero"/>
        <c:auto val="1"/>
        <c:lblAlgn val="ctr"/>
        <c:lblOffset val="100"/>
        <c:noMultiLvlLbl val="0"/>
      </c:catAx>
      <c:valAx>
        <c:axId val="1763746351"/>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11331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[sales_dashboard.xlsx]pivottables!profitbymonth</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Profit</a:t>
            </a:r>
            <a:r>
              <a:rPr lang="en-IN" b="1" baseline="0"/>
              <a:t> By Month</a:t>
            </a:r>
            <a:endParaRPr lang="en-IN" b="1"/>
          </a:p>
        </c:rich>
      </c:tx>
      <c:layout>
        <c:manualLayout>
          <c:xMode val="edge"/>
          <c:yMode val="edge"/>
          <c:x val="0.34849110192998101"/>
          <c:y val="4.389975570763474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780169821540602"/>
          <c:y val="0.21045597431583746"/>
          <c:w val="0.77660027790643815"/>
          <c:h val="0.47931220611557829"/>
        </c:manualLayout>
      </c:layout>
      <c:lineChart>
        <c:grouping val="standard"/>
        <c:varyColors val="0"/>
        <c:ser>
          <c:idx val="0"/>
          <c:order val="0"/>
          <c:tx>
            <c:strRef>
              <c:f>pivottables!$F$23</c:f>
              <c:strCache>
                <c:ptCount val="1"/>
                <c:pt idx="0">
                  <c:v>Total</c:v>
                </c:pt>
              </c:strCache>
            </c:strRef>
          </c:tx>
          <c:spPr>
            <a:ln w="28575" cap="rnd">
              <a:solidFill>
                <a:schemeClr val="accent1"/>
              </a:solidFill>
              <a:round/>
            </a:ln>
            <a:effectLst/>
          </c:spPr>
          <c:marker>
            <c:symbol val="none"/>
          </c:marker>
          <c:cat>
            <c:strRef>
              <c:f>pivottables!$E$24:$E$36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pivottables!$F$24:$F$36</c:f>
              <c:numCache>
                <c:formatCode>General</c:formatCode>
                <c:ptCount val="12"/>
                <c:pt idx="0">
                  <c:v>683034.5299999998</c:v>
                </c:pt>
                <c:pt idx="1">
                  <c:v>587160.09000000008</c:v>
                </c:pt>
                <c:pt idx="2">
                  <c:v>519561.34</c:v>
                </c:pt>
                <c:pt idx="3">
                  <c:v>579410.78999999992</c:v>
                </c:pt>
                <c:pt idx="4">
                  <c:v>495490.19</c:v>
                </c:pt>
                <c:pt idx="5">
                  <c:v>343437.69999999995</c:v>
                </c:pt>
                <c:pt idx="6">
                  <c:v>361187.86000000022</c:v>
                </c:pt>
                <c:pt idx="7">
                  <c:v>674659.62000000011</c:v>
                </c:pt>
                <c:pt idx="8">
                  <c:v>650779.5199999999</c:v>
                </c:pt>
                <c:pt idx="9">
                  <c:v>518226.86</c:v>
                </c:pt>
                <c:pt idx="10">
                  <c:v>523669.91</c:v>
                </c:pt>
                <c:pt idx="11">
                  <c:v>732525.25999999989</c:v>
                </c:pt>
              </c:numCache>
            </c:numRef>
          </c:val>
          <c:smooth val="0"/>
          <c:extLst>
            <c:ext xmlns:c16="http://schemas.microsoft.com/office/drawing/2014/chart" uri="{C3380CC4-5D6E-409C-BE32-E72D297353CC}">
              <c16:uniqueId val="{00000000-C17F-445A-A829-DD30BC792014}"/>
            </c:ext>
          </c:extLst>
        </c:ser>
        <c:dLbls>
          <c:showLegendKey val="0"/>
          <c:showVal val="0"/>
          <c:showCatName val="0"/>
          <c:showSerName val="0"/>
          <c:showPercent val="0"/>
          <c:showBubbleSize val="0"/>
        </c:dLbls>
        <c:smooth val="0"/>
        <c:axId val="1884288063"/>
        <c:axId val="1763733391"/>
      </c:lineChart>
      <c:catAx>
        <c:axId val="18842880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3733391"/>
        <c:crosses val="autoZero"/>
        <c:auto val="1"/>
        <c:lblAlgn val="ctr"/>
        <c:lblOffset val="100"/>
        <c:noMultiLvlLbl val="0"/>
      </c:catAx>
      <c:valAx>
        <c:axId val="176373339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42880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[sales_dashboard.xlsx]pivottables!top10productsbysales</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Top</a:t>
            </a:r>
            <a:r>
              <a:rPr lang="en-IN" b="1" baseline="0"/>
              <a:t> 10 Products By Sales</a:t>
            </a:r>
            <a:endParaRPr lang="en-IN" b="1"/>
          </a:p>
        </c:rich>
      </c:tx>
      <c:layout>
        <c:manualLayout>
          <c:xMode val="edge"/>
          <c:yMode val="edge"/>
          <c:x val="0.34817007827972202"/>
          <c:y val="6.05567058921365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4275634916228295"/>
          <c:y val="0.17563690357569892"/>
          <c:w val="0.67505181768122691"/>
          <c:h val="0.65986511060183339"/>
        </c:manualLayout>
      </c:layout>
      <c:barChart>
        <c:barDir val="bar"/>
        <c:grouping val="clustered"/>
        <c:varyColors val="0"/>
        <c:ser>
          <c:idx val="0"/>
          <c:order val="0"/>
          <c:tx>
            <c:strRef>
              <c:f>pivottables!$B$41</c:f>
              <c:strCache>
                <c:ptCount val="1"/>
                <c:pt idx="0">
                  <c:v>Total</c:v>
                </c:pt>
              </c:strCache>
            </c:strRef>
          </c:tx>
          <c:spPr>
            <a:solidFill>
              <a:schemeClr val="accent1"/>
            </a:solidFill>
            <a:ln>
              <a:noFill/>
            </a:ln>
            <a:effectLst/>
          </c:spPr>
          <c:invertIfNegative val="0"/>
          <c:cat>
            <c:strRef>
              <c:f>pivottables!$A$42:$A$52</c:f>
              <c:strCache>
                <c:ptCount val="10"/>
                <c:pt idx="0">
                  <c:v>Conference Table</c:v>
                </c:pt>
                <c:pt idx="1">
                  <c:v>Executive Chair</c:v>
                </c:pt>
                <c:pt idx="2">
                  <c:v>Filing Cabinet</c:v>
                </c:pt>
                <c:pt idx="3">
                  <c:v>Laptop A</c:v>
                </c:pt>
                <c:pt idx="4">
                  <c:v>Laptop B</c:v>
                </c:pt>
                <c:pt idx="5">
                  <c:v>Laptop C</c:v>
                </c:pt>
                <c:pt idx="6">
                  <c:v>Office Desk</c:v>
                </c:pt>
                <c:pt idx="7">
                  <c:v>Smartphone A</c:v>
                </c:pt>
                <c:pt idx="8">
                  <c:v>Smartphone B</c:v>
                </c:pt>
                <c:pt idx="9">
                  <c:v>Smartphone C</c:v>
                </c:pt>
              </c:strCache>
            </c:strRef>
          </c:cat>
          <c:val>
            <c:numRef>
              <c:f>pivottables!$B$42:$B$52</c:f>
              <c:numCache>
                <c:formatCode>0.00</c:formatCode>
                <c:ptCount val="10"/>
                <c:pt idx="0">
                  <c:v>2688165.4300000006</c:v>
                </c:pt>
                <c:pt idx="1">
                  <c:v>1269583.0699999998</c:v>
                </c:pt>
                <c:pt idx="2">
                  <c:v>1042410.5499999999</c:v>
                </c:pt>
                <c:pt idx="3">
                  <c:v>7891777.4699999997</c:v>
                </c:pt>
                <c:pt idx="4">
                  <c:v>7368492.2100000009</c:v>
                </c:pt>
                <c:pt idx="5">
                  <c:v>9152923.5199999996</c:v>
                </c:pt>
                <c:pt idx="6">
                  <c:v>1494398.9600000002</c:v>
                </c:pt>
                <c:pt idx="7">
                  <c:v>3530694.99</c:v>
                </c:pt>
                <c:pt idx="8">
                  <c:v>5494282.5899999999</c:v>
                </c:pt>
                <c:pt idx="9">
                  <c:v>6413889.8200000012</c:v>
                </c:pt>
              </c:numCache>
            </c:numRef>
          </c:val>
          <c:extLst>
            <c:ext xmlns:c16="http://schemas.microsoft.com/office/drawing/2014/chart" uri="{C3380CC4-5D6E-409C-BE32-E72D297353CC}">
              <c16:uniqueId val="{00000000-3537-481C-AEAB-79D5E6DF9E0D}"/>
            </c:ext>
          </c:extLst>
        </c:ser>
        <c:dLbls>
          <c:showLegendKey val="0"/>
          <c:showVal val="0"/>
          <c:showCatName val="0"/>
          <c:showSerName val="0"/>
          <c:showPercent val="0"/>
          <c:showBubbleSize val="0"/>
        </c:dLbls>
        <c:gapWidth val="182"/>
        <c:axId val="1991004767"/>
        <c:axId val="1763790511"/>
      </c:barChart>
      <c:catAx>
        <c:axId val="199100476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3790511"/>
        <c:crosses val="autoZero"/>
        <c:auto val="1"/>
        <c:lblAlgn val="ctr"/>
        <c:lblOffset val="100"/>
        <c:noMultiLvlLbl val="0"/>
      </c:catAx>
      <c:valAx>
        <c:axId val="1763790511"/>
        <c:scaling>
          <c:orientation val="minMax"/>
        </c:scaling>
        <c:delete val="0"/>
        <c:axPos val="b"/>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10047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73824</xdr:colOff>
      <xdr:row>3</xdr:row>
      <xdr:rowOff>59410</xdr:rowOff>
    </xdr:from>
    <xdr:to>
      <xdr:col>3</xdr:col>
      <xdr:colOff>580840</xdr:colOff>
      <xdr:row>7</xdr:row>
      <xdr:rowOff>132912</xdr:rowOff>
    </xdr:to>
    <xdr:grpSp>
      <xdr:nvGrpSpPr>
        <xdr:cNvPr id="30" name="Group 29">
          <a:extLst>
            <a:ext uri="{FF2B5EF4-FFF2-40B4-BE49-F238E27FC236}">
              <a16:creationId xmlns:a16="http://schemas.microsoft.com/office/drawing/2014/main" id="{C7D4C26C-FAD9-462A-40DF-F32C5A7D625B}"/>
            </a:ext>
          </a:extLst>
        </xdr:cNvPr>
        <xdr:cNvGrpSpPr/>
      </xdr:nvGrpSpPr>
      <xdr:grpSpPr>
        <a:xfrm>
          <a:off x="682366" y="615035"/>
          <a:ext cx="1724099" cy="814335"/>
          <a:chOff x="387350" y="496284"/>
          <a:chExt cx="1456207" cy="783017"/>
        </a:xfrm>
      </xdr:grpSpPr>
      <xdr:sp macro="" textlink="">
        <xdr:nvSpPr>
          <xdr:cNvPr id="3" name="Rectangle: Rounded Corners 2">
            <a:extLst>
              <a:ext uri="{FF2B5EF4-FFF2-40B4-BE49-F238E27FC236}">
                <a16:creationId xmlns:a16="http://schemas.microsoft.com/office/drawing/2014/main" id="{7C65CE9F-A37C-B06E-82E3-7643EB77BB22}"/>
              </a:ext>
            </a:extLst>
          </xdr:cNvPr>
          <xdr:cNvSpPr/>
        </xdr:nvSpPr>
        <xdr:spPr>
          <a:xfrm>
            <a:off x="387350" y="496284"/>
            <a:ext cx="1456207" cy="783017"/>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sp macro="" textlink="formulas!A1">
        <xdr:nvSpPr>
          <xdr:cNvPr id="4" name="TextBox 3">
            <a:extLst>
              <a:ext uri="{FF2B5EF4-FFF2-40B4-BE49-F238E27FC236}">
                <a16:creationId xmlns:a16="http://schemas.microsoft.com/office/drawing/2014/main" id="{8C0E44E1-A0E9-AB32-B4DE-8EC28D1F03D9}"/>
              </a:ext>
            </a:extLst>
          </xdr:cNvPr>
          <xdr:cNvSpPr txBox="1"/>
        </xdr:nvSpPr>
        <xdr:spPr>
          <a:xfrm>
            <a:off x="617889" y="890082"/>
            <a:ext cx="1057333" cy="22002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B971146-1091-4D8E-9FB7-0CC0D7387312}" type="TxLink">
              <a:rPr lang="en-US" sz="1100" b="0" i="0" u="none" strike="noStrike">
                <a:solidFill>
                  <a:srgbClr val="000000"/>
                </a:solidFill>
                <a:latin typeface="Aptos Narrow"/>
              </a:rPr>
              <a:pPr/>
              <a:t>51081823.34</a:t>
            </a:fld>
            <a:endParaRPr lang="en-IN" sz="1100"/>
          </a:p>
        </xdr:txBody>
      </xdr:sp>
      <xdr:sp macro="" textlink="">
        <xdr:nvSpPr>
          <xdr:cNvPr id="5" name="TextBox 4">
            <a:extLst>
              <a:ext uri="{FF2B5EF4-FFF2-40B4-BE49-F238E27FC236}">
                <a16:creationId xmlns:a16="http://schemas.microsoft.com/office/drawing/2014/main" id="{1FF866D0-7E2C-3069-6C53-8F70D0E6E59D}"/>
              </a:ext>
            </a:extLst>
          </xdr:cNvPr>
          <xdr:cNvSpPr txBox="1"/>
        </xdr:nvSpPr>
        <xdr:spPr>
          <a:xfrm>
            <a:off x="589953" y="632180"/>
            <a:ext cx="1082658" cy="22002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t>Total Sales</a:t>
            </a:r>
          </a:p>
        </xdr:txBody>
      </xdr:sp>
    </xdr:grpSp>
    <xdr:clientData/>
  </xdr:twoCellAnchor>
  <xdr:twoCellAnchor>
    <xdr:from>
      <xdr:col>4</xdr:col>
      <xdr:colOff>322071</xdr:colOff>
      <xdr:row>3</xdr:row>
      <xdr:rowOff>85744</xdr:rowOff>
    </xdr:from>
    <xdr:to>
      <xdr:col>7</xdr:col>
      <xdr:colOff>284955</xdr:colOff>
      <xdr:row>7</xdr:row>
      <xdr:rowOff>141359</xdr:rowOff>
    </xdr:to>
    <xdr:grpSp>
      <xdr:nvGrpSpPr>
        <xdr:cNvPr id="19" name="Group 18">
          <a:extLst>
            <a:ext uri="{FF2B5EF4-FFF2-40B4-BE49-F238E27FC236}">
              <a16:creationId xmlns:a16="http://schemas.microsoft.com/office/drawing/2014/main" id="{872298A5-4496-4CB5-2A23-8B8BE6EA9F68}"/>
            </a:ext>
          </a:extLst>
        </xdr:cNvPr>
        <xdr:cNvGrpSpPr/>
      </xdr:nvGrpSpPr>
      <xdr:grpSpPr>
        <a:xfrm>
          <a:off x="2756238" y="641369"/>
          <a:ext cx="1788509" cy="796448"/>
          <a:chOff x="3041650" y="742950"/>
          <a:chExt cx="1460500" cy="768350"/>
        </a:xfrm>
      </xdr:grpSpPr>
      <xdr:sp macro="" textlink="">
        <xdr:nvSpPr>
          <xdr:cNvPr id="8" name="Rectangle: Rounded Corners 7">
            <a:extLst>
              <a:ext uri="{FF2B5EF4-FFF2-40B4-BE49-F238E27FC236}">
                <a16:creationId xmlns:a16="http://schemas.microsoft.com/office/drawing/2014/main" id="{A9C73C88-5A6A-D536-E213-A536E07D70B7}"/>
              </a:ext>
            </a:extLst>
          </xdr:cNvPr>
          <xdr:cNvSpPr/>
        </xdr:nvSpPr>
        <xdr:spPr>
          <a:xfrm>
            <a:off x="3041650" y="742950"/>
            <a:ext cx="1460500" cy="768350"/>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sp macro="" textlink="formulas!A3">
        <xdr:nvSpPr>
          <xdr:cNvPr id="9" name="TextBox 8">
            <a:extLst>
              <a:ext uri="{FF2B5EF4-FFF2-40B4-BE49-F238E27FC236}">
                <a16:creationId xmlns:a16="http://schemas.microsoft.com/office/drawing/2014/main" id="{A9648684-710E-75C3-13C3-CD8499BA9369}"/>
              </a:ext>
            </a:extLst>
          </xdr:cNvPr>
          <xdr:cNvSpPr txBox="1"/>
        </xdr:nvSpPr>
        <xdr:spPr>
          <a:xfrm>
            <a:off x="3270250" y="1149350"/>
            <a:ext cx="1060450" cy="2159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056AE57-4F05-4B56-9DC0-D08BE21C9EA9}" type="TxLink">
              <a:rPr lang="en-US" sz="1100" b="0" i="0" u="none" strike="noStrike">
                <a:solidFill>
                  <a:srgbClr val="000000"/>
                </a:solidFill>
                <a:latin typeface="Aptos Narrow"/>
              </a:rPr>
              <a:pPr/>
              <a:t>6669143.67</a:t>
            </a:fld>
            <a:endParaRPr lang="en-US" sz="1100" b="0" i="0" u="none" strike="noStrike">
              <a:solidFill>
                <a:srgbClr val="000000"/>
              </a:solidFill>
              <a:latin typeface="Aptos Narrow"/>
            </a:endParaRPr>
          </a:p>
        </xdr:txBody>
      </xdr:sp>
      <xdr:sp macro="" textlink="">
        <xdr:nvSpPr>
          <xdr:cNvPr id="10" name="TextBox 9">
            <a:extLst>
              <a:ext uri="{FF2B5EF4-FFF2-40B4-BE49-F238E27FC236}">
                <a16:creationId xmlns:a16="http://schemas.microsoft.com/office/drawing/2014/main" id="{AA1321C8-5620-B2BB-877A-9AED3FFAC062}"/>
              </a:ext>
            </a:extLst>
          </xdr:cNvPr>
          <xdr:cNvSpPr txBox="1"/>
        </xdr:nvSpPr>
        <xdr:spPr>
          <a:xfrm>
            <a:off x="3251200" y="869950"/>
            <a:ext cx="1085850" cy="2159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t>Total Profit</a:t>
            </a:r>
          </a:p>
        </xdr:txBody>
      </xdr:sp>
    </xdr:grpSp>
    <xdr:clientData/>
  </xdr:twoCellAnchor>
  <xdr:twoCellAnchor>
    <xdr:from>
      <xdr:col>8</xdr:col>
      <xdr:colOff>66606</xdr:colOff>
      <xdr:row>3</xdr:row>
      <xdr:rowOff>57483</xdr:rowOff>
    </xdr:from>
    <xdr:to>
      <xdr:col>11</xdr:col>
      <xdr:colOff>23229</xdr:colOff>
      <xdr:row>7</xdr:row>
      <xdr:rowOff>159247</xdr:rowOff>
    </xdr:to>
    <xdr:grpSp>
      <xdr:nvGrpSpPr>
        <xdr:cNvPr id="21" name="Group 20">
          <a:extLst>
            <a:ext uri="{FF2B5EF4-FFF2-40B4-BE49-F238E27FC236}">
              <a16:creationId xmlns:a16="http://schemas.microsoft.com/office/drawing/2014/main" id="{4D80BA63-ACED-F1DC-C8AC-16B83EE95CA1}"/>
            </a:ext>
          </a:extLst>
        </xdr:cNvPr>
        <xdr:cNvGrpSpPr/>
      </xdr:nvGrpSpPr>
      <xdr:grpSpPr>
        <a:xfrm>
          <a:off x="4934939" y="613108"/>
          <a:ext cx="1782248" cy="842597"/>
          <a:chOff x="1860550" y="1835150"/>
          <a:chExt cx="1460500" cy="768350"/>
        </a:xfrm>
      </xdr:grpSpPr>
      <xdr:sp macro="" textlink="">
        <xdr:nvSpPr>
          <xdr:cNvPr id="12" name="Rectangle: Rounded Corners 11">
            <a:extLst>
              <a:ext uri="{FF2B5EF4-FFF2-40B4-BE49-F238E27FC236}">
                <a16:creationId xmlns:a16="http://schemas.microsoft.com/office/drawing/2014/main" id="{8317E007-2622-4B21-3C39-0A77D463FA00}"/>
              </a:ext>
            </a:extLst>
          </xdr:cNvPr>
          <xdr:cNvSpPr/>
        </xdr:nvSpPr>
        <xdr:spPr>
          <a:xfrm>
            <a:off x="1860550" y="1835150"/>
            <a:ext cx="1460500" cy="768350"/>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grpSp>
        <xdr:nvGrpSpPr>
          <xdr:cNvPr id="20" name="Group 19">
            <a:extLst>
              <a:ext uri="{FF2B5EF4-FFF2-40B4-BE49-F238E27FC236}">
                <a16:creationId xmlns:a16="http://schemas.microsoft.com/office/drawing/2014/main" id="{1A94FF6D-4EBE-3BF9-6937-BB86469258F2}"/>
              </a:ext>
            </a:extLst>
          </xdr:cNvPr>
          <xdr:cNvGrpSpPr/>
        </xdr:nvGrpSpPr>
        <xdr:grpSpPr>
          <a:xfrm>
            <a:off x="2032000" y="1974850"/>
            <a:ext cx="1085850" cy="495300"/>
            <a:chOff x="2032000" y="1974850"/>
            <a:chExt cx="1085850" cy="495300"/>
          </a:xfrm>
        </xdr:grpSpPr>
        <xdr:sp macro="" textlink="formulas!A10">
          <xdr:nvSpPr>
            <xdr:cNvPr id="13" name="TextBox 12">
              <a:extLst>
                <a:ext uri="{FF2B5EF4-FFF2-40B4-BE49-F238E27FC236}">
                  <a16:creationId xmlns:a16="http://schemas.microsoft.com/office/drawing/2014/main" id="{B4D13AD3-BE5F-CBFA-5E5C-7F9A6713E9BD}"/>
                </a:ext>
              </a:extLst>
            </xdr:cNvPr>
            <xdr:cNvSpPr txBox="1"/>
          </xdr:nvSpPr>
          <xdr:spPr>
            <a:xfrm>
              <a:off x="2051050" y="2254250"/>
              <a:ext cx="1060450" cy="2159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6C4C43B-33E4-4C60-B5E6-EA24C05D633D}" type="TxLink">
                <a:rPr lang="en-US" sz="1100" b="0" i="0" u="none" strike="noStrike">
                  <a:solidFill>
                    <a:srgbClr val="000000"/>
                  </a:solidFill>
                  <a:latin typeface="Aptos Narrow"/>
                </a:rPr>
                <a:pPr/>
                <a:t>992</a:t>
              </a:fld>
              <a:endParaRPr lang="en-IN" sz="1100"/>
            </a:p>
          </xdr:txBody>
        </xdr:sp>
        <xdr:sp macro="" textlink="">
          <xdr:nvSpPr>
            <xdr:cNvPr id="14" name="TextBox 13">
              <a:extLst>
                <a:ext uri="{FF2B5EF4-FFF2-40B4-BE49-F238E27FC236}">
                  <a16:creationId xmlns:a16="http://schemas.microsoft.com/office/drawing/2014/main" id="{48196AF1-03CE-9201-7A47-891E8B8C5818}"/>
                </a:ext>
              </a:extLst>
            </xdr:cNvPr>
            <xdr:cNvSpPr txBox="1"/>
          </xdr:nvSpPr>
          <xdr:spPr>
            <a:xfrm>
              <a:off x="2032000" y="1974850"/>
              <a:ext cx="1085850" cy="2159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t>Total Orders</a:t>
              </a:r>
            </a:p>
          </xdr:txBody>
        </xdr:sp>
      </xdr:grpSp>
    </xdr:grpSp>
    <xdr:clientData/>
  </xdr:twoCellAnchor>
  <xdr:twoCellAnchor>
    <xdr:from>
      <xdr:col>11</xdr:col>
      <xdr:colOff>377845</xdr:colOff>
      <xdr:row>3</xdr:row>
      <xdr:rowOff>41274</xdr:rowOff>
    </xdr:from>
    <xdr:to>
      <xdr:col>14</xdr:col>
      <xdr:colOff>282595</xdr:colOff>
      <xdr:row>7</xdr:row>
      <xdr:rowOff>132664</xdr:rowOff>
    </xdr:to>
    <xdr:grpSp>
      <xdr:nvGrpSpPr>
        <xdr:cNvPr id="23" name="Group 22">
          <a:extLst>
            <a:ext uri="{FF2B5EF4-FFF2-40B4-BE49-F238E27FC236}">
              <a16:creationId xmlns:a16="http://schemas.microsoft.com/office/drawing/2014/main" id="{03310997-9674-8A5A-EFE0-EA7EF47B787F}"/>
            </a:ext>
          </a:extLst>
        </xdr:cNvPr>
        <xdr:cNvGrpSpPr/>
      </xdr:nvGrpSpPr>
      <xdr:grpSpPr>
        <a:xfrm>
          <a:off x="7071803" y="596899"/>
          <a:ext cx="1730375" cy="832223"/>
          <a:chOff x="5499100" y="2051050"/>
          <a:chExt cx="1460500" cy="768350"/>
        </a:xfrm>
      </xdr:grpSpPr>
      <xdr:sp macro="" textlink="">
        <xdr:nvSpPr>
          <xdr:cNvPr id="16" name="Rectangle: Rounded Corners 15">
            <a:extLst>
              <a:ext uri="{FF2B5EF4-FFF2-40B4-BE49-F238E27FC236}">
                <a16:creationId xmlns:a16="http://schemas.microsoft.com/office/drawing/2014/main" id="{1CD296E4-BF7C-BD9F-C410-2F83E420B760}"/>
              </a:ext>
            </a:extLst>
          </xdr:cNvPr>
          <xdr:cNvSpPr/>
        </xdr:nvSpPr>
        <xdr:spPr>
          <a:xfrm>
            <a:off x="5499100" y="2051050"/>
            <a:ext cx="1460500" cy="768350"/>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grpSp>
        <xdr:nvGrpSpPr>
          <xdr:cNvPr id="22" name="Group 21">
            <a:extLst>
              <a:ext uri="{FF2B5EF4-FFF2-40B4-BE49-F238E27FC236}">
                <a16:creationId xmlns:a16="http://schemas.microsoft.com/office/drawing/2014/main" id="{71AE4FFC-940C-9FF8-4829-284A01F6E514}"/>
              </a:ext>
            </a:extLst>
          </xdr:cNvPr>
          <xdr:cNvGrpSpPr/>
        </xdr:nvGrpSpPr>
        <xdr:grpSpPr>
          <a:xfrm>
            <a:off x="5689600" y="2159000"/>
            <a:ext cx="1085850" cy="495300"/>
            <a:chOff x="5689600" y="2159000"/>
            <a:chExt cx="1085850" cy="495300"/>
          </a:xfrm>
        </xdr:grpSpPr>
        <xdr:sp macro="" textlink="formulas!A12">
          <xdr:nvSpPr>
            <xdr:cNvPr id="17" name="TextBox 16">
              <a:extLst>
                <a:ext uri="{FF2B5EF4-FFF2-40B4-BE49-F238E27FC236}">
                  <a16:creationId xmlns:a16="http://schemas.microsoft.com/office/drawing/2014/main" id="{0556BC01-E557-6658-EFFB-6677F05EF8C0}"/>
                </a:ext>
              </a:extLst>
            </xdr:cNvPr>
            <xdr:cNvSpPr txBox="1"/>
          </xdr:nvSpPr>
          <xdr:spPr>
            <a:xfrm>
              <a:off x="5708650" y="2438400"/>
              <a:ext cx="1060450" cy="2159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1725CA8-BD3D-49EC-9E45-86EE49942560}" type="TxLink">
                <a:rPr lang="en-US" sz="1100" b="0" i="0" u="none" strike="noStrike">
                  <a:solidFill>
                    <a:srgbClr val="000000"/>
                  </a:solidFill>
                  <a:latin typeface="Aptos Narrow"/>
                </a:rPr>
                <a:pPr/>
                <a:t>13.06%</a:t>
              </a:fld>
              <a:endParaRPr lang="en-IN" sz="1100"/>
            </a:p>
          </xdr:txBody>
        </xdr:sp>
        <xdr:sp macro="" textlink="">
          <xdr:nvSpPr>
            <xdr:cNvPr id="18" name="TextBox 17">
              <a:extLst>
                <a:ext uri="{FF2B5EF4-FFF2-40B4-BE49-F238E27FC236}">
                  <a16:creationId xmlns:a16="http://schemas.microsoft.com/office/drawing/2014/main" id="{9CB68F03-B326-3C2D-5558-1EE92B483B76}"/>
                </a:ext>
              </a:extLst>
            </xdr:cNvPr>
            <xdr:cNvSpPr txBox="1"/>
          </xdr:nvSpPr>
          <xdr:spPr>
            <a:xfrm>
              <a:off x="5689600" y="2159000"/>
              <a:ext cx="1085850" cy="2159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t>Profit</a:t>
              </a:r>
              <a:r>
                <a:rPr lang="en-IN" sz="1100" b="1" baseline="0"/>
                <a:t> Margin</a:t>
              </a:r>
              <a:endParaRPr lang="en-IN" sz="1100" b="1"/>
            </a:p>
          </xdr:txBody>
        </xdr:sp>
      </xdr:grpSp>
    </xdr:grpSp>
    <xdr:clientData/>
  </xdr:twoCellAnchor>
  <xdr:twoCellAnchor>
    <xdr:from>
      <xdr:col>0</xdr:col>
      <xdr:colOff>185042</xdr:colOff>
      <xdr:row>9</xdr:row>
      <xdr:rowOff>37998</xdr:rowOff>
    </xdr:from>
    <xdr:to>
      <xdr:col>5</xdr:col>
      <xdr:colOff>255763</xdr:colOff>
      <xdr:row>19</xdr:row>
      <xdr:rowOff>149931</xdr:rowOff>
    </xdr:to>
    <xdr:graphicFrame macro="">
      <xdr:nvGraphicFramePr>
        <xdr:cNvPr id="24" name="Chart 23">
          <a:extLst>
            <a:ext uri="{FF2B5EF4-FFF2-40B4-BE49-F238E27FC236}">
              <a16:creationId xmlns:a16="http://schemas.microsoft.com/office/drawing/2014/main" id="{B08A9C71-925D-4D5D-9C12-DC23298186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512712</xdr:colOff>
      <xdr:row>8</xdr:row>
      <xdr:rowOff>184544</xdr:rowOff>
    </xdr:from>
    <xdr:to>
      <xdr:col>10</xdr:col>
      <xdr:colOff>529166</xdr:colOff>
      <xdr:row>19</xdr:row>
      <xdr:rowOff>158750</xdr:rowOff>
    </xdr:to>
    <xdr:graphicFrame macro="">
      <xdr:nvGraphicFramePr>
        <xdr:cNvPr id="25" name="Chart 24">
          <a:extLst>
            <a:ext uri="{FF2B5EF4-FFF2-40B4-BE49-F238E27FC236}">
              <a16:creationId xmlns:a16="http://schemas.microsoft.com/office/drawing/2014/main" id="{51B35C1B-5E1F-48C5-B780-BB876C5EE0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159557</xdr:colOff>
      <xdr:row>21</xdr:row>
      <xdr:rowOff>32022</xdr:rowOff>
    </xdr:from>
    <xdr:to>
      <xdr:col>18</xdr:col>
      <xdr:colOff>552512</xdr:colOff>
      <xdr:row>33</xdr:row>
      <xdr:rowOff>128143</xdr:rowOff>
    </xdr:to>
    <xdr:graphicFrame macro="">
      <xdr:nvGraphicFramePr>
        <xdr:cNvPr id="26" name="Chart 25">
          <a:extLst>
            <a:ext uri="{FF2B5EF4-FFF2-40B4-BE49-F238E27FC236}">
              <a16:creationId xmlns:a16="http://schemas.microsoft.com/office/drawing/2014/main" id="{BF8C925D-C865-42C9-B9B1-1F415A175B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105832</xdr:colOff>
      <xdr:row>21</xdr:row>
      <xdr:rowOff>19113</xdr:rowOff>
    </xdr:from>
    <xdr:to>
      <xdr:col>5</xdr:col>
      <xdr:colOff>520347</xdr:colOff>
      <xdr:row>33</xdr:row>
      <xdr:rowOff>105833</xdr:rowOff>
    </xdr:to>
    <xdr:graphicFrame macro="">
      <xdr:nvGraphicFramePr>
        <xdr:cNvPr id="27" name="Chart 26">
          <a:extLst>
            <a:ext uri="{FF2B5EF4-FFF2-40B4-BE49-F238E27FC236}">
              <a16:creationId xmlns:a16="http://schemas.microsoft.com/office/drawing/2014/main" id="{4F30DEDD-AE0B-43BD-B491-1522976BA9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584905</xdr:colOff>
      <xdr:row>8</xdr:row>
      <xdr:rowOff>128721</xdr:rowOff>
    </xdr:from>
    <xdr:to>
      <xdr:col>17</xdr:col>
      <xdr:colOff>242041</xdr:colOff>
      <xdr:row>20</xdr:row>
      <xdr:rowOff>135609</xdr:rowOff>
    </xdr:to>
    <xdr:graphicFrame macro="">
      <xdr:nvGraphicFramePr>
        <xdr:cNvPr id="28" name="Chart 27">
          <a:extLst>
            <a:ext uri="{FF2B5EF4-FFF2-40B4-BE49-F238E27FC236}">
              <a16:creationId xmlns:a16="http://schemas.microsoft.com/office/drawing/2014/main" id="{E9C253B1-A072-4BF2-9F48-805AD81B3F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10</xdr:col>
      <xdr:colOff>464695</xdr:colOff>
      <xdr:row>21</xdr:row>
      <xdr:rowOff>41560</xdr:rowOff>
    </xdr:from>
    <xdr:to>
      <xdr:col>13</xdr:col>
      <xdr:colOff>88193</xdr:colOff>
      <xdr:row>30</xdr:row>
      <xdr:rowOff>149931</xdr:rowOff>
    </xdr:to>
    <mc:AlternateContent xmlns:mc="http://schemas.openxmlformats.org/markup-compatibility/2006" xmlns:a14="http://schemas.microsoft.com/office/drawing/2010/main">
      <mc:Choice Requires="a14">
        <xdr:graphicFrame macro="">
          <xdr:nvGraphicFramePr>
            <xdr:cNvPr id="31" name="Region">
              <a:extLst>
                <a:ext uri="{FF2B5EF4-FFF2-40B4-BE49-F238E27FC236}">
                  <a16:creationId xmlns:a16="http://schemas.microsoft.com/office/drawing/2014/main" id="{3F5AEDC5-0D69-4A73-A6D9-C07648E04D1D}"/>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6550112" y="3930935"/>
              <a:ext cx="1449123" cy="177524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547845</xdr:colOff>
      <xdr:row>21</xdr:row>
      <xdr:rowOff>37355</xdr:rowOff>
    </xdr:from>
    <xdr:to>
      <xdr:col>8</xdr:col>
      <xdr:colOff>80846</xdr:colOff>
      <xdr:row>30</xdr:row>
      <xdr:rowOff>108905</xdr:rowOff>
    </xdr:to>
    <mc:AlternateContent xmlns:mc="http://schemas.openxmlformats.org/markup-compatibility/2006" xmlns:a14="http://schemas.microsoft.com/office/drawing/2010/main">
      <mc:Choice Requires="a14">
        <xdr:graphicFrame macro="">
          <xdr:nvGraphicFramePr>
            <xdr:cNvPr id="32" name="Category">
              <a:extLst>
                <a:ext uri="{FF2B5EF4-FFF2-40B4-BE49-F238E27FC236}">
                  <a16:creationId xmlns:a16="http://schemas.microsoft.com/office/drawing/2014/main" id="{644A5F0D-895A-4F66-928A-7CFF40A6CEE1}"/>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3590553" y="3926730"/>
              <a:ext cx="1358626" cy="17384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197917</xdr:colOff>
      <xdr:row>21</xdr:row>
      <xdr:rowOff>13378</xdr:rowOff>
    </xdr:from>
    <xdr:to>
      <xdr:col>10</xdr:col>
      <xdr:colOff>370417</xdr:colOff>
      <xdr:row>30</xdr:row>
      <xdr:rowOff>149930</xdr:rowOff>
    </xdr:to>
    <mc:AlternateContent xmlns:mc="http://schemas.openxmlformats.org/markup-compatibility/2006" xmlns:a14="http://schemas.microsoft.com/office/drawing/2010/main">
      <mc:Choice Requires="a14">
        <xdr:graphicFrame macro="">
          <xdr:nvGraphicFramePr>
            <xdr:cNvPr id="33" name="State">
              <a:extLst>
                <a:ext uri="{FF2B5EF4-FFF2-40B4-BE49-F238E27FC236}">
                  <a16:creationId xmlns:a16="http://schemas.microsoft.com/office/drawing/2014/main" id="{B23BEAA3-79CF-47F0-9EE2-2B1B16842E95}"/>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5066250" y="3902753"/>
              <a:ext cx="1389584" cy="180342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1</xdr:col>
      <xdr:colOff>485069</xdr:colOff>
      <xdr:row>1</xdr:row>
      <xdr:rowOff>44098</xdr:rowOff>
    </xdr:from>
    <xdr:ext cx="184731" cy="264560"/>
    <xdr:sp macro="" textlink="">
      <xdr:nvSpPr>
        <xdr:cNvPr id="2" name="TextBox 1">
          <a:extLst>
            <a:ext uri="{FF2B5EF4-FFF2-40B4-BE49-F238E27FC236}">
              <a16:creationId xmlns:a16="http://schemas.microsoft.com/office/drawing/2014/main" id="{795A452F-E6FB-D72A-1222-A74B987ED94C}"/>
            </a:ext>
          </a:extLst>
        </xdr:cNvPr>
        <xdr:cNvSpPr txBox="1"/>
      </xdr:nvSpPr>
      <xdr:spPr>
        <a:xfrm>
          <a:off x="1093611" y="22930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twoCellAnchor>
    <xdr:from>
      <xdr:col>12</xdr:col>
      <xdr:colOff>442383</xdr:colOff>
      <xdr:row>13</xdr:row>
      <xdr:rowOff>32279</xdr:rowOff>
    </xdr:from>
    <xdr:to>
      <xdr:col>14</xdr:col>
      <xdr:colOff>139700</xdr:colOff>
      <xdr:row>18</xdr:row>
      <xdr:rowOff>20637</xdr:rowOff>
    </xdr:to>
    <xdr:sp macro="" textlink="">
      <xdr:nvSpPr>
        <xdr:cNvPr id="6" name="TextBox 5">
          <a:extLst>
            <a:ext uri="{FF2B5EF4-FFF2-40B4-BE49-F238E27FC236}">
              <a16:creationId xmlns:a16="http://schemas.microsoft.com/office/drawing/2014/main" id="{A6F77191-D626-973C-60DD-6042E542042D}"/>
            </a:ext>
          </a:extLst>
        </xdr:cNvPr>
        <xdr:cNvSpPr txBox="1"/>
      </xdr:nvSpPr>
      <xdr:spPr>
        <a:xfrm>
          <a:off x="7744883" y="2439987"/>
          <a:ext cx="914400" cy="9144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xdr:twoCellAnchor>
    <xdr:from>
      <xdr:col>3</xdr:col>
      <xdr:colOff>61736</xdr:colOff>
      <xdr:row>0</xdr:row>
      <xdr:rowOff>0</xdr:rowOff>
    </xdr:from>
    <xdr:to>
      <xdr:col>18</xdr:col>
      <xdr:colOff>0</xdr:colOff>
      <xdr:row>2</xdr:row>
      <xdr:rowOff>114653</xdr:rowOff>
    </xdr:to>
    <xdr:sp macro="" textlink="">
      <xdr:nvSpPr>
        <xdr:cNvPr id="7" name="TextBox 6">
          <a:extLst>
            <a:ext uri="{FF2B5EF4-FFF2-40B4-BE49-F238E27FC236}">
              <a16:creationId xmlns:a16="http://schemas.microsoft.com/office/drawing/2014/main" id="{5FF0305D-5C8A-7FBD-11E5-E382518B2992}"/>
            </a:ext>
          </a:extLst>
        </xdr:cNvPr>
        <xdr:cNvSpPr txBox="1"/>
      </xdr:nvSpPr>
      <xdr:spPr>
        <a:xfrm>
          <a:off x="1887361" y="0"/>
          <a:ext cx="9066389" cy="4850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800">
              <a:latin typeface="Times New Roman" panose="02020603050405020304" pitchFamily="18" charset="0"/>
              <a:cs typeface="Times New Roman" panose="02020603050405020304" pitchFamily="18" charset="0"/>
            </a:rPr>
            <a:t>SALES ANALYSIS DASHBOARD</a:t>
          </a:r>
        </a:p>
      </xdr:txBody>
    </xdr:sp>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ulasi Kola" refreshedDate="46289.662858912037" createdVersion="8" refreshedVersion="8" minRefreshableVersion="3" recordCount="992" xr:uid="{95E37ABD-FA92-4885-A22B-862A535EA9A2}">
  <cacheSource type="worksheet">
    <worksheetSource name="sales"/>
  </cacheSource>
  <cacheFields count="16">
    <cacheField name="Order ID" numFmtId="0">
      <sharedItems/>
    </cacheField>
    <cacheField name="Order Date" numFmtId="14">
      <sharedItems containsSemiMixedTypes="0" containsNonDate="0" containsDate="1" containsString="0" minDate="2025-01-01T00:00:00" maxDate="2026-01-01T00:00:00" count="335">
        <d v="2025-01-01T00:00:00"/>
        <d v="2025-01-02T00:00:00"/>
        <d v="2025-01-03T00:00:00"/>
        <d v="2025-01-04T00:00:00"/>
        <d v="2025-01-05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4T00:00:00"/>
        <d v="2025-01-25T00:00:00"/>
        <d v="2025-01-26T00:00:00"/>
        <d v="2025-01-27T00:00:00"/>
        <d v="2025-01-28T00:00:00"/>
        <d v="2025-01-29T00:00:00"/>
        <d v="2025-01-31T00:00:00"/>
        <d v="2025-02-01T00:00:00"/>
        <d v="2025-02-03T00:00:00"/>
        <d v="2025-02-04T00:00:00"/>
        <d v="2025-02-05T00:00:00"/>
        <d v="2025-02-06T00:00:00"/>
        <d v="2025-02-07T00:00:00"/>
        <d v="2025-02-08T00:00:00"/>
        <d v="2025-02-09T00:00:00"/>
        <d v="2025-02-10T00:00:00"/>
        <d v="2025-02-11T00:00:00"/>
        <d v="2025-02-12T00:00:00"/>
        <d v="2025-02-13T00:00:00"/>
        <d v="2025-02-14T00:00:00"/>
        <d v="2025-02-15T00:00:00"/>
        <d v="2025-02-16T00:00:00"/>
        <d v="2025-02-17T00:00:00"/>
        <d v="2025-02-18T00:00:00"/>
        <d v="2025-02-19T00:00:00"/>
        <d v="2025-02-20T00:00:00"/>
        <d v="2025-02-21T00:00:00"/>
        <d v="2025-02-23T00:00:00"/>
        <d v="2025-02-24T00:00:00"/>
        <d v="2025-02-25T00:00:00"/>
        <d v="2025-02-26T00:00:00"/>
        <d v="2025-02-27T00:00:00"/>
        <d v="2025-02-28T00:00:00"/>
        <d v="2025-03-01T00:00:00"/>
        <d v="2025-03-02T00:00:00"/>
        <d v="2025-03-03T00:00:00"/>
        <d v="2025-03-04T00:00:00"/>
        <d v="2025-03-05T00:00:00"/>
        <d v="2025-03-06T00:00:00"/>
        <d v="2025-03-07T00:00:00"/>
        <d v="2025-03-08T00:00:00"/>
        <d v="2025-03-09T00:00:00"/>
        <d v="2025-03-10T00:00:00"/>
        <d v="2025-03-11T00:00:00"/>
        <d v="2025-03-12T00:00:00"/>
        <d v="2025-03-13T00:00:00"/>
        <d v="2025-03-14T00:00:00"/>
        <d v="2025-03-15T00:00:00"/>
        <d v="2025-03-16T00:00:00"/>
        <d v="2025-03-17T00:00:00"/>
        <d v="2025-03-18T00:00:00"/>
        <d v="2025-03-19T00:00:00"/>
        <d v="2025-03-20T00:00:00"/>
        <d v="2025-03-21T00:00:00"/>
        <d v="2025-03-22T00:00:00"/>
        <d v="2025-03-24T00:00:00"/>
        <d v="2025-03-25T00:00:00"/>
        <d v="2025-03-26T00:00:00"/>
        <d v="2025-03-27T00:00:00"/>
        <d v="2025-03-28T00:00:00"/>
        <d v="2025-03-29T00:00:00"/>
        <d v="2025-03-30T00:00:00"/>
        <d v="2025-03-31T00:00:00"/>
        <d v="2025-04-01T00:00:00"/>
        <d v="2025-04-02T00:00:00"/>
        <d v="2025-04-03T00:00:00"/>
        <d v="2025-04-04T00:00:00"/>
        <d v="2025-04-05T00:00:00"/>
        <d v="2025-04-06T00:00:00"/>
        <d v="2025-04-08T00:00:00"/>
        <d v="2025-04-09T00:00:00"/>
        <d v="2025-04-10T00:00:00"/>
        <d v="2025-04-11T00:00:00"/>
        <d v="2025-04-12T00:00:00"/>
        <d v="2025-04-13T00:00:00"/>
        <d v="2025-04-14T00:00:00"/>
        <d v="2025-04-15T00:00:00"/>
        <d v="2025-04-16T00:00:00"/>
        <d v="2025-04-17T00:00:00"/>
        <d v="2025-04-18T00:00:00"/>
        <d v="2025-04-19T00:00:00"/>
        <d v="2025-04-20T00:00:00"/>
        <d v="2025-04-21T00:00:00"/>
        <d v="2025-04-22T00:00:00"/>
        <d v="2025-04-23T00:00:00"/>
        <d v="2025-04-24T00:00:00"/>
        <d v="2025-04-25T00:00:00"/>
        <d v="2025-04-26T00:00:00"/>
        <d v="2025-04-27T00:00:00"/>
        <d v="2025-04-28T00:00:00"/>
        <d v="2025-04-29T00:00:00"/>
        <d v="2025-04-30T00:00:00"/>
        <d v="2025-05-01T00:00:00"/>
        <d v="2025-05-02T00:00:00"/>
        <d v="2025-05-04T00:00:00"/>
        <d v="2025-05-05T00:00:00"/>
        <d v="2025-05-06T00:00:00"/>
        <d v="2025-05-07T00:00:00"/>
        <d v="2025-05-08T00:00:00"/>
        <d v="2025-05-10T00:00:00"/>
        <d v="2025-05-11T00:00:00"/>
        <d v="2025-05-12T00:00:00"/>
        <d v="2025-05-13T00:00:00"/>
        <d v="2025-05-14T00:00:00"/>
        <d v="2025-05-15T00:00:00"/>
        <d v="2025-05-16T00:00:00"/>
        <d v="2025-05-17T00:00:00"/>
        <d v="2025-05-18T00:00:00"/>
        <d v="2025-05-19T00:00:00"/>
        <d v="2025-05-20T00:00:00"/>
        <d v="2025-05-21T00:00:00"/>
        <d v="2025-05-22T00:00:00"/>
        <d v="2025-05-23T00:00:00"/>
        <d v="2025-05-24T00:00:00"/>
        <d v="2025-05-25T00:00:00"/>
        <d v="2025-05-26T00:00:00"/>
        <d v="2025-05-27T00:00:00"/>
        <d v="2025-05-28T00:00:00"/>
        <d v="2025-05-29T00:00:00"/>
        <d v="2025-05-30T00:00:00"/>
        <d v="2025-05-31T00:00:00"/>
        <d v="2025-06-01T00:00:00"/>
        <d v="2025-06-03T00:00:00"/>
        <d v="2025-06-04T00:00:00"/>
        <d v="2025-06-05T00:00:00"/>
        <d v="2025-06-06T00:00:00"/>
        <d v="2025-06-07T00:00:00"/>
        <d v="2025-06-08T00:00:00"/>
        <d v="2025-06-09T00:00:00"/>
        <d v="2025-06-10T00:00:00"/>
        <d v="2025-06-11T00:00:00"/>
        <d v="2025-06-12T00:00:00"/>
        <d v="2025-06-13T00:00:00"/>
        <d v="2025-06-14T00:00:00"/>
        <d v="2025-06-15T00:00:00"/>
        <d v="2025-06-16T00:00:00"/>
        <d v="2025-06-17T00:00:00"/>
        <d v="2025-06-18T00:00:00"/>
        <d v="2025-06-19T00:00:00"/>
        <d v="2025-06-20T00:00:00"/>
        <d v="2025-06-21T00:00:00"/>
        <d v="2025-06-22T00:00:00"/>
        <d v="2025-06-23T00:00:00"/>
        <d v="2025-06-24T00:00:00"/>
        <d v="2025-06-25T00:00:00"/>
        <d v="2025-06-26T00:00:00"/>
        <d v="2025-06-27T00:00:00"/>
        <d v="2025-06-28T00:00:00"/>
        <d v="2025-06-29T00:00:00"/>
        <d v="2025-07-01T00:00:00"/>
        <d v="2025-07-04T00:00:00"/>
        <d v="2025-07-05T00:00:00"/>
        <d v="2025-07-06T00:00:00"/>
        <d v="2025-07-07T00:00:00"/>
        <d v="2025-07-08T00:00:00"/>
        <d v="2025-07-09T00:00:00"/>
        <d v="2025-07-10T00:00:00"/>
        <d v="2025-07-11T00:00:00"/>
        <d v="2025-07-12T00:00:00"/>
        <d v="2025-07-14T00:00:00"/>
        <d v="2025-07-15T00:00:00"/>
        <d v="2025-07-16T00:00:00"/>
        <d v="2025-07-17T00:00:00"/>
        <d v="2025-07-18T00:00:00"/>
        <d v="2025-07-20T00:00:00"/>
        <d v="2025-07-21T00:00:00"/>
        <d v="2025-07-24T00:00:00"/>
        <d v="2025-07-25T00:00:00"/>
        <d v="2025-07-26T00:00:00"/>
        <d v="2025-07-27T00:00:00"/>
        <d v="2025-07-29T00:00:00"/>
        <d v="2025-07-30T00:00:00"/>
        <d v="2025-07-31T00:00:00"/>
        <d v="2025-08-01T00:00:00"/>
        <d v="2025-08-02T00:00:00"/>
        <d v="2025-08-03T00:00:00"/>
        <d v="2025-08-04T00:00:00"/>
        <d v="2025-08-05T00:00:00"/>
        <d v="2025-08-06T00:00:00"/>
        <d v="2025-08-07T00:00:00"/>
        <d v="2025-08-08T00:00:00"/>
        <d v="2025-08-09T00:00:00"/>
        <d v="2025-08-10T00:00:00"/>
        <d v="2025-08-11T00:00:00"/>
        <d v="2025-08-12T00:00:00"/>
        <d v="2025-08-13T00:00:00"/>
        <d v="2025-08-14T00:00:00"/>
        <d v="2025-08-15T00:00:00"/>
        <d v="2025-08-16T00:00:00"/>
        <d v="2025-08-17T00:00:00"/>
        <d v="2025-08-18T00:00:00"/>
        <d v="2025-08-19T00:00:00"/>
        <d v="2025-08-20T00:00:00"/>
        <d v="2025-08-21T00:00:00"/>
        <d v="2025-08-22T00:00:00"/>
        <d v="2025-08-23T00:00:00"/>
        <d v="2025-08-25T00:00:00"/>
        <d v="2025-08-26T00:00:00"/>
        <d v="2025-08-27T00:00:00"/>
        <d v="2025-08-28T00:00:00"/>
        <d v="2025-08-29T00:00:00"/>
        <d v="2025-08-30T00:00:00"/>
        <d v="2025-08-31T00:00:00"/>
        <d v="2025-09-01T00:00:00"/>
        <d v="2025-09-02T00:00:00"/>
        <d v="2025-09-03T00:00:00"/>
        <d v="2025-09-04T00:00:00"/>
        <d v="2025-09-05T00:00:00"/>
        <d v="2025-09-06T00:00:00"/>
        <d v="2025-09-07T00:00:00"/>
        <d v="2025-09-08T00:00:00"/>
        <d v="2025-09-10T00:00:00"/>
        <d v="2025-09-11T00:00:00"/>
        <d v="2025-09-12T00:00:00"/>
        <d v="2025-09-13T00:00:00"/>
        <d v="2025-09-14T00:00:00"/>
        <d v="2025-09-15T00:00:00"/>
        <d v="2025-09-16T00:00:00"/>
        <d v="2025-09-17T00:00:00"/>
        <d v="2025-09-18T00:00:00"/>
        <d v="2025-09-20T00:00:00"/>
        <d v="2025-09-21T00:00:00"/>
        <d v="2025-09-22T00:00:00"/>
        <d v="2025-09-24T00:00:00"/>
        <d v="2025-09-25T00:00:00"/>
        <d v="2025-09-27T00:00:00"/>
        <d v="2025-09-28T00:00:00"/>
        <d v="2025-09-30T00:00:00"/>
        <d v="2025-10-01T00:00:00"/>
        <d v="2025-10-02T00:00:00"/>
        <d v="2025-10-03T00:00:00"/>
        <d v="2025-10-04T00:00:00"/>
        <d v="2025-10-05T00:00:00"/>
        <d v="2025-10-06T00:00:00"/>
        <d v="2025-10-07T00:00:00"/>
        <d v="2025-10-08T00:00:00"/>
        <d v="2025-10-09T00:00:00"/>
        <d v="2025-10-10T00:00:00"/>
        <d v="2025-10-11T00:00:00"/>
        <d v="2025-10-12T00:00:00"/>
        <d v="2025-10-13T00:00:00"/>
        <d v="2025-10-14T00:00:00"/>
        <d v="2025-10-15T00:00:00"/>
        <d v="2025-10-16T00:00:00"/>
        <d v="2025-10-17T00:00:00"/>
        <d v="2025-10-18T00:00:00"/>
        <d v="2025-10-19T00:00:00"/>
        <d v="2025-10-21T00:00:00"/>
        <d v="2025-10-22T00:00:00"/>
        <d v="2025-10-23T00:00:00"/>
        <d v="2025-10-24T00:00:00"/>
        <d v="2025-10-25T00:00:00"/>
        <d v="2025-10-26T00:00:00"/>
        <d v="2025-10-27T00:00:00"/>
        <d v="2025-10-29T00:00:00"/>
        <d v="2025-10-30T00:00:00"/>
        <d v="2025-10-31T00:00:00"/>
        <d v="2025-11-01T00:00:00"/>
        <d v="2025-11-02T00:00:00"/>
        <d v="2025-11-03T00:00:00"/>
        <d v="2025-11-04T00:00:00"/>
        <d v="2025-11-05T00:00:00"/>
        <d v="2025-11-06T00:00:00"/>
        <d v="2025-11-07T00:00:00"/>
        <d v="2025-11-08T00:00:00"/>
        <d v="2025-11-09T00:00:00"/>
        <d v="2025-11-10T00:00:00"/>
        <d v="2025-11-11T00:00:00"/>
        <d v="2025-11-12T00:00:00"/>
        <d v="2025-11-13T00:00:00"/>
        <d v="2025-11-14T00:00:00"/>
        <d v="2025-11-15T00:00:00"/>
        <d v="2025-11-16T00:00:00"/>
        <d v="2025-11-17T00:00:00"/>
        <d v="2025-11-18T00:00:00"/>
        <d v="2025-11-19T00:00:00"/>
        <d v="2025-11-20T00:00:00"/>
        <d v="2025-11-21T00:00:00"/>
        <d v="2025-11-22T00:00:00"/>
        <d v="2025-11-23T00:00:00"/>
        <d v="2025-11-24T00:00:00"/>
        <d v="2025-11-25T00:00:00"/>
        <d v="2025-11-26T00:00:00"/>
        <d v="2025-11-27T00:00:00"/>
        <d v="2025-11-28T00:00:00"/>
        <d v="2025-11-29T00:00:00"/>
        <d v="2025-11-30T00:00:00"/>
        <d v="2025-12-01T00:00:00"/>
        <d v="2025-12-02T00:00:00"/>
        <d v="2025-12-03T00:00:00"/>
        <d v="2025-12-04T00:00:00"/>
        <d v="2025-12-05T00:00:00"/>
        <d v="2025-12-06T00:00:00"/>
        <d v="2025-12-07T00:00:00"/>
        <d v="2025-12-08T00:00:00"/>
        <d v="2025-12-09T00:00:00"/>
        <d v="2025-12-10T00:00:00"/>
        <d v="2025-12-11T00:00:00"/>
        <d v="2025-12-13T00:00:00"/>
        <d v="2025-12-15T00:00:00"/>
        <d v="2025-12-17T00:00:00"/>
        <d v="2025-12-18T00:00:00"/>
        <d v="2025-12-19T00:00:00"/>
        <d v="2025-12-20T00:00:00"/>
        <d v="2025-12-21T00:00:00"/>
        <d v="2025-12-22T00:00:00"/>
        <d v="2025-12-23T00:00:00"/>
        <d v="2025-12-24T00:00:00"/>
        <d v="2025-12-25T00:00:00"/>
        <d v="2025-12-26T00:00:00"/>
        <d v="2025-12-27T00:00:00"/>
        <d v="2025-12-28T00:00:00"/>
        <d v="2025-12-30T00:00:00"/>
        <d v="2025-12-31T00:00:00"/>
      </sharedItems>
      <fieldGroup par="15"/>
    </cacheField>
    <cacheField name="Customer ID" numFmtId="0">
      <sharedItems/>
    </cacheField>
    <cacheField name="Customer Name" numFmtId="0">
      <sharedItems/>
    </cacheField>
    <cacheField name="Region" numFmtId="0">
      <sharedItems count="4">
        <s v="East"/>
        <s v="West"/>
        <s v="North"/>
        <s v="South"/>
      </sharedItems>
    </cacheField>
    <cacheField name="State" numFmtId="0">
      <sharedItems count="17">
        <s v="West Bengal"/>
        <s v="Maharashtra"/>
        <s v="Punjab"/>
        <s v="Rajasthan"/>
        <s v="Karnataka"/>
        <s v="Telangana"/>
        <s v="Haryana"/>
        <s v="Jharkhand"/>
        <s v="Goa"/>
        <s v="Tamil Nadu"/>
        <s v="Andhra Pradesh"/>
        <s v="Kerala"/>
        <s v="Delhi"/>
        <s v="Gujarat"/>
        <s v="Uttar Pradesh"/>
        <s v="Odisha"/>
        <s v="Bihar"/>
      </sharedItems>
    </cacheField>
    <cacheField name="City" numFmtId="0">
      <sharedItems/>
    </cacheField>
    <cacheField name="Category" numFmtId="0">
      <sharedItems count="3">
        <s v="Furniture"/>
        <s v="Technology"/>
        <s v="Office Supplies"/>
      </sharedItems>
    </cacheField>
    <cacheField name="Sub-Category" numFmtId="0">
      <sharedItems/>
    </cacheField>
    <cacheField name="Product" numFmtId="0">
      <sharedItems count="27">
        <s v="Office Chair"/>
        <s v="Smartphone A"/>
        <s v="File Folder Set"/>
        <s v="Bookshelf"/>
        <s v="Wireless Mouse"/>
        <s v="Office Desk"/>
        <s v="Visitor Chair"/>
        <s v="A4 Paper Pack"/>
        <s v="Headphones"/>
        <s v="Laptop B"/>
        <s v="Laptop C"/>
        <s v="Smartphone B"/>
        <s v="Study Table"/>
        <s v="Filing Cabinet"/>
        <s v="Document Tray"/>
        <s v="Laptop A"/>
        <s v="Conference Table"/>
        <s v="Photo Paper"/>
        <s v="Smartphone C"/>
        <s v="Executive Chair"/>
        <s v="Storage Rack"/>
        <s v="Marker Pack"/>
        <s v="Pen Set"/>
        <s v="Desk Organizer"/>
        <s v="Keyboard"/>
        <s v="Premium Paper"/>
        <s v="Notebook"/>
      </sharedItems>
    </cacheField>
    <cacheField name="Quantity" numFmtId="0">
      <sharedItems containsSemiMixedTypes="0" containsString="0" containsNumber="1" containsInteger="1" minValue="1" maxValue="7"/>
    </cacheField>
    <cacheField name="Sales" numFmtId="2">
      <sharedItems containsSemiMixedTypes="0" containsString="0" containsNumber="1" minValue="159.94" maxValue="497673.56"/>
    </cacheField>
    <cacheField name="Discount" numFmtId="0">
      <sharedItems containsSemiMixedTypes="0" containsString="0" containsNumber="1" minValue="0" maxValue="0.2"/>
    </cacheField>
    <cacheField name="Profit" numFmtId="0">
      <sharedItems containsSemiMixedTypes="0" containsString="0" containsNumber="1" minValue="4.22" maxValue="103104.95"/>
    </cacheField>
    <cacheField name="Days (Order Date)" numFmtId="0" databaseField="0">
      <fieldGroup base="1">
        <rangePr groupBy="days" startDate="2025-01-01T00:00:00" endDate="2026-01-01T00:00:00"/>
        <groupItems count="368">
          <s v="&lt;01-01-2025"/>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1-2026"/>
        </groupItems>
      </fieldGroup>
    </cacheField>
    <cacheField name="Months (Order Date)" numFmtId="0" databaseField="0">
      <fieldGroup base="1">
        <rangePr groupBy="months" startDate="2025-01-01T00:00:00" endDate="2026-01-01T00:00:00"/>
        <groupItems count="14">
          <s v="&lt;01-01-2025"/>
          <s v="Jan"/>
          <s v="Feb"/>
          <s v="Mar"/>
          <s v="Apr"/>
          <s v="May"/>
          <s v="Jun"/>
          <s v="Jul"/>
          <s v="Aug"/>
          <s v="Sep"/>
          <s v="Oct"/>
          <s v="Nov"/>
          <s v="Dec"/>
          <s v="&gt;01-01-2026"/>
        </groupItems>
      </fieldGroup>
    </cacheField>
  </cacheFields>
  <extLst>
    <ext xmlns:x14="http://schemas.microsoft.com/office/spreadsheetml/2009/9/main" uri="{725AE2AE-9491-48be-B2B4-4EB974FC3084}">
      <x14:pivotCacheDefinition pivotCacheId="139354926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2">
  <r>
    <s v="ORD-1811"/>
    <x v="0"/>
    <s v="CUST-1060"/>
    <s v="Meera Singh"/>
    <x v="0"/>
    <x v="0"/>
    <s v="Kolkata"/>
    <x v="0"/>
    <s v="Chairs"/>
    <x v="0"/>
    <n v="1"/>
    <n v="5983.33"/>
    <n v="0.05"/>
    <n v="1297.77"/>
  </r>
  <r>
    <s v="ORD-1713"/>
    <x v="0"/>
    <s v="CUST-1204"/>
    <s v="Sneha Nair"/>
    <x v="1"/>
    <x v="1"/>
    <s v="Mumbai"/>
    <x v="1"/>
    <s v="Phones"/>
    <x v="1"/>
    <n v="5"/>
    <n v="88655.69"/>
    <n v="0.05"/>
    <n v="12760.68"/>
  </r>
  <r>
    <s v="ORD-1698"/>
    <x v="0"/>
    <s v="CUST-1131"/>
    <s v="Rahul Singh"/>
    <x v="2"/>
    <x v="2"/>
    <s v="Amritsar"/>
    <x v="2"/>
    <s v="Organizers"/>
    <x v="2"/>
    <n v="1"/>
    <n v="433.63"/>
    <n v="0.05"/>
    <n v="38.1"/>
  </r>
  <r>
    <s v="ORD-1680"/>
    <x v="1"/>
    <s v="CUST-1024"/>
    <s v="Nisha Das"/>
    <x v="1"/>
    <x v="3"/>
    <s v="Udaipur"/>
    <x v="0"/>
    <s v="Storage"/>
    <x v="3"/>
    <n v="3"/>
    <n v="17885.68"/>
    <n v="0.1"/>
    <n v="3141.84"/>
  </r>
  <r>
    <s v="ORD-1541"/>
    <x v="1"/>
    <s v="CUST-1243"/>
    <s v="Rohan Kumar"/>
    <x v="3"/>
    <x v="4"/>
    <s v="Mysuru"/>
    <x v="0"/>
    <s v="Storage"/>
    <x v="3"/>
    <n v="3"/>
    <n v="19762.87"/>
    <n v="0"/>
    <n v="4341.26"/>
  </r>
  <r>
    <s v="ORD-1804"/>
    <x v="1"/>
    <s v="CUST-1238"/>
    <s v="Rahul Reddy"/>
    <x v="3"/>
    <x v="4"/>
    <s v="Bengaluru"/>
    <x v="1"/>
    <s v="Accessories"/>
    <x v="4"/>
    <n v="4"/>
    <n v="3358.58"/>
    <n v="0.05"/>
    <n v="341.35"/>
  </r>
  <r>
    <s v="ORD-1981"/>
    <x v="2"/>
    <s v="CUST-1219"/>
    <s v="Varun Verma"/>
    <x v="3"/>
    <x v="5"/>
    <s v="Warangal"/>
    <x v="0"/>
    <s v="Tables"/>
    <x v="5"/>
    <n v="2"/>
    <n v="19901.990000000002"/>
    <n v="0"/>
    <n v="3344.04"/>
  </r>
  <r>
    <s v="ORD-1178"/>
    <x v="2"/>
    <s v="CUST-1193"/>
    <s v="Ananya Gupta"/>
    <x v="2"/>
    <x v="6"/>
    <s v="Faridabad"/>
    <x v="0"/>
    <s v="Chairs"/>
    <x v="6"/>
    <n v="2"/>
    <n v="5669.35"/>
    <n v="0.1"/>
    <n v="983.68"/>
  </r>
  <r>
    <s v="ORD-1368"/>
    <x v="2"/>
    <s v="CUST-1137"/>
    <s v="Meera Das"/>
    <x v="0"/>
    <x v="7"/>
    <s v="Ranchi"/>
    <x v="2"/>
    <s v="Paper"/>
    <x v="7"/>
    <n v="4"/>
    <n v="1355.4"/>
    <n v="0.05"/>
    <n v="178.63"/>
  </r>
  <r>
    <s v="ORD-1870"/>
    <x v="3"/>
    <s v="CUST-1044"/>
    <s v="Isha Patel"/>
    <x v="3"/>
    <x v="4"/>
    <s v="Mysuru"/>
    <x v="2"/>
    <s v="Paper"/>
    <x v="7"/>
    <n v="6"/>
    <n v="2216.36"/>
    <n v="0"/>
    <n v="425.13"/>
  </r>
  <r>
    <s v="ORD-1272"/>
    <x v="3"/>
    <s v="CUST-1067"/>
    <s v="Priya Nair"/>
    <x v="1"/>
    <x v="8"/>
    <s v="Panaji"/>
    <x v="1"/>
    <s v="Accessories"/>
    <x v="8"/>
    <n v="5"/>
    <n v="11743.03"/>
    <n v="0.1"/>
    <n v="1215.03"/>
  </r>
  <r>
    <s v="ORD-1257"/>
    <x v="3"/>
    <s v="CUST-1090"/>
    <s v="Kavya Nair"/>
    <x v="3"/>
    <x v="9"/>
    <s v="Chennai"/>
    <x v="1"/>
    <s v="Laptops"/>
    <x v="9"/>
    <n v="4"/>
    <n v="219003.07"/>
    <n v="0.05"/>
    <n v="37426.660000000003"/>
  </r>
  <r>
    <s v="ORD-1971"/>
    <x v="4"/>
    <s v="CUST-1231"/>
    <s v="Rohan Singh"/>
    <x v="3"/>
    <x v="10"/>
    <s v="Tirupati"/>
    <x v="2"/>
    <s v="Organizers"/>
    <x v="2"/>
    <n v="5"/>
    <n v="2033.15"/>
    <n v="0.2"/>
    <n v="367.56"/>
  </r>
  <r>
    <s v="ORD-1791"/>
    <x v="4"/>
    <s v="CUST-1077"/>
    <s v="Pooja Sharma"/>
    <x v="3"/>
    <x v="11"/>
    <s v="Thiruvananthapuram"/>
    <x v="1"/>
    <s v="Laptops"/>
    <x v="10"/>
    <n v="6"/>
    <n v="453718"/>
    <n v="0"/>
    <n v="36768.480000000003"/>
  </r>
  <r>
    <s v="ORD-1828"/>
    <x v="4"/>
    <s v="CUST-1019"/>
    <s v="Isha Reddy"/>
    <x v="2"/>
    <x v="12"/>
    <s v="New Delhi"/>
    <x v="1"/>
    <s v="Phones"/>
    <x v="11"/>
    <n v="4"/>
    <n v="118743.16"/>
    <n v="0"/>
    <n v="7531.62"/>
  </r>
  <r>
    <s v="ORD-1355"/>
    <x v="4"/>
    <s v="CUST-1122"/>
    <s v="Kiran Singh"/>
    <x v="1"/>
    <x v="3"/>
    <s v="Jaipur"/>
    <x v="0"/>
    <s v="Tables"/>
    <x v="12"/>
    <n v="4"/>
    <n v="23149.46"/>
    <n v="0"/>
    <n v="4726.58"/>
  </r>
  <r>
    <s v="ORD-1763"/>
    <x v="4"/>
    <s v="CUST-1190"/>
    <s v="Arjun Patel"/>
    <x v="1"/>
    <x v="13"/>
    <s v="Ahmedabad"/>
    <x v="1"/>
    <s v="Phones"/>
    <x v="1"/>
    <n v="4"/>
    <n v="75206.84"/>
    <n v="0"/>
    <n v="12750.78"/>
  </r>
  <r>
    <s v="ORD-1164"/>
    <x v="5"/>
    <s v="CUST-1155"/>
    <s v="Nisha Das"/>
    <x v="3"/>
    <x v="4"/>
    <s v="Mysuru"/>
    <x v="1"/>
    <s v="Laptops"/>
    <x v="10"/>
    <n v="2"/>
    <n v="165649.64000000001"/>
    <n v="0"/>
    <n v="23350.18"/>
  </r>
  <r>
    <s v="ORD-1190"/>
    <x v="5"/>
    <s v="CUST-1070"/>
    <s v="Varun Reddy"/>
    <x v="2"/>
    <x v="14"/>
    <s v="Lucknow"/>
    <x v="0"/>
    <s v="Storage"/>
    <x v="13"/>
    <n v="2"/>
    <n v="14922.81"/>
    <n v="0.1"/>
    <n v="1443.54"/>
  </r>
  <r>
    <s v="ORD-1199"/>
    <x v="6"/>
    <s v="CUST-1101"/>
    <s v="Pooja Singh"/>
    <x v="2"/>
    <x v="6"/>
    <s v="Faridabad"/>
    <x v="2"/>
    <s v="Organizers"/>
    <x v="14"/>
    <n v="2"/>
    <n v="1501.69"/>
    <n v="0"/>
    <n v="251.77"/>
  </r>
  <r>
    <s v="ORD-1642"/>
    <x v="6"/>
    <s v="CUST-1074"/>
    <s v="Nisha Singh"/>
    <x v="3"/>
    <x v="5"/>
    <s v="Warangal"/>
    <x v="1"/>
    <s v="Laptops"/>
    <x v="15"/>
    <n v="5"/>
    <n v="225820.69"/>
    <n v="0.05"/>
    <n v="27047.09"/>
  </r>
  <r>
    <s v="ORD-1057"/>
    <x v="6"/>
    <s v="CUST-1113"/>
    <s v="Rahul Patel"/>
    <x v="2"/>
    <x v="12"/>
    <s v="New Delhi"/>
    <x v="0"/>
    <s v="Tables"/>
    <x v="16"/>
    <n v="7"/>
    <n v="134656.74"/>
    <n v="0.05"/>
    <n v="27778.9"/>
  </r>
  <r>
    <s v="ORD-1659"/>
    <x v="7"/>
    <s v="CUST-1013"/>
    <s v="Manoj Patel"/>
    <x v="3"/>
    <x v="4"/>
    <s v="Bengaluru"/>
    <x v="1"/>
    <s v="Laptops"/>
    <x v="15"/>
    <n v="7"/>
    <n v="292986.01"/>
    <n v="0.1"/>
    <n v="12829.97"/>
  </r>
  <r>
    <s v="ORD-1833"/>
    <x v="7"/>
    <s v="CUST-1191"/>
    <s v="Rohan Gupta"/>
    <x v="2"/>
    <x v="6"/>
    <s v="Faridabad"/>
    <x v="1"/>
    <s v="Laptops"/>
    <x v="9"/>
    <n v="3"/>
    <n v="148653.51"/>
    <n v="0.2"/>
    <n v="3232.63"/>
  </r>
  <r>
    <s v="ORD-1556"/>
    <x v="7"/>
    <s v="CUST-1079"/>
    <s v="Asha Reddy"/>
    <x v="0"/>
    <x v="7"/>
    <s v="Ranchi"/>
    <x v="1"/>
    <s v="Laptops"/>
    <x v="15"/>
    <n v="5"/>
    <n v="202861.79"/>
    <n v="0.05"/>
    <n v="21185.11"/>
  </r>
  <r>
    <s v="ORD-1412"/>
    <x v="7"/>
    <s v="CUST-1060"/>
    <s v="Nisha Singh"/>
    <x v="3"/>
    <x v="5"/>
    <s v="Warangal"/>
    <x v="0"/>
    <s v="Storage"/>
    <x v="3"/>
    <n v="3"/>
    <n v="21248.19"/>
    <n v="0"/>
    <n v="3439.73"/>
  </r>
  <r>
    <s v="ORD-1474"/>
    <x v="8"/>
    <s v="CUST-1213"/>
    <s v="Asha Gupta"/>
    <x v="3"/>
    <x v="9"/>
    <s v="Chennai"/>
    <x v="0"/>
    <s v="Storage"/>
    <x v="3"/>
    <n v="2"/>
    <n v="12266.24"/>
    <n v="0.1"/>
    <n v="1637.25"/>
  </r>
  <r>
    <s v="ORD-1863"/>
    <x v="8"/>
    <s v="CUST-1233"/>
    <s v="Aarav Kumar"/>
    <x v="3"/>
    <x v="9"/>
    <s v="Chennai"/>
    <x v="1"/>
    <s v="Laptops"/>
    <x v="10"/>
    <n v="6"/>
    <n v="366934.61"/>
    <n v="0.2"/>
    <n v="23294.95"/>
  </r>
  <r>
    <s v="ORD-1595"/>
    <x v="8"/>
    <s v="CUST-1201"/>
    <s v="Sanjay Nair"/>
    <x v="3"/>
    <x v="11"/>
    <s v="Thiruvananthapuram"/>
    <x v="0"/>
    <s v="Storage"/>
    <x v="3"/>
    <n v="5"/>
    <n v="30791.5"/>
    <n v="0.1"/>
    <n v="1683.23"/>
  </r>
  <r>
    <s v="ORD-1754"/>
    <x v="8"/>
    <s v="CUST-1155"/>
    <s v="Meera Das"/>
    <x v="3"/>
    <x v="4"/>
    <s v="Mysuru"/>
    <x v="1"/>
    <s v="Phones"/>
    <x v="1"/>
    <n v="1"/>
    <n v="14318.28"/>
    <n v="0.15"/>
    <n v="1128.98"/>
  </r>
  <r>
    <s v="ORD-1496"/>
    <x v="8"/>
    <s v="CUST-1102"/>
    <s v="Manoj Singh"/>
    <x v="3"/>
    <x v="11"/>
    <s v="Thiruvananthapuram"/>
    <x v="1"/>
    <s v="Laptops"/>
    <x v="15"/>
    <n v="7"/>
    <n v="251404.49"/>
    <n v="0.2"/>
    <n v="13135.76"/>
  </r>
  <r>
    <s v="ORD-1330"/>
    <x v="9"/>
    <s v="CUST-1098"/>
    <s v="Divya Das"/>
    <x v="3"/>
    <x v="4"/>
    <s v="Mysuru"/>
    <x v="1"/>
    <s v="Accessories"/>
    <x v="4"/>
    <n v="1"/>
    <n v="818.61"/>
    <n v="0.15"/>
    <n v="37.1"/>
  </r>
  <r>
    <s v="ORD-1694"/>
    <x v="9"/>
    <s v="CUST-1161"/>
    <s v="Vikram Singh"/>
    <x v="1"/>
    <x v="3"/>
    <s v="Udaipur"/>
    <x v="2"/>
    <s v="Organizers"/>
    <x v="2"/>
    <n v="2"/>
    <n v="833.99"/>
    <n v="0.1"/>
    <n v="167.7"/>
  </r>
  <r>
    <s v="ORD-1333"/>
    <x v="9"/>
    <s v="CUST-1220"/>
    <s v="Nisha Singh"/>
    <x v="3"/>
    <x v="4"/>
    <s v="Bengaluru"/>
    <x v="2"/>
    <s v="Paper"/>
    <x v="17"/>
    <n v="7"/>
    <n v="2800.3"/>
    <n v="0.05"/>
    <n v="558.03"/>
  </r>
  <r>
    <s v="ORD-1283"/>
    <x v="10"/>
    <s v="CUST-1126"/>
    <s v="Aditya Singh"/>
    <x v="3"/>
    <x v="9"/>
    <s v="Coimbatore"/>
    <x v="2"/>
    <s v="Organizers"/>
    <x v="14"/>
    <n v="2"/>
    <n v="1419.08"/>
    <n v="0"/>
    <n v="132.88999999999999"/>
  </r>
  <r>
    <s v="ORD-1552"/>
    <x v="10"/>
    <s v="CUST-1072"/>
    <s v="Arjun Verma"/>
    <x v="2"/>
    <x v="14"/>
    <s v="Lucknow"/>
    <x v="1"/>
    <s v="Phones"/>
    <x v="18"/>
    <n v="1"/>
    <n v="44104.31"/>
    <n v="0"/>
    <n v="7317.68"/>
  </r>
  <r>
    <s v="ORD-1045"/>
    <x v="10"/>
    <s v="CUST-1074"/>
    <s v="Pooja Gupta"/>
    <x v="0"/>
    <x v="15"/>
    <s v="Bhubaneswar"/>
    <x v="0"/>
    <s v="Tables"/>
    <x v="16"/>
    <n v="7"/>
    <n v="127081.79"/>
    <n v="0.2"/>
    <n v="11330.15"/>
  </r>
  <r>
    <s v="ORD-1385"/>
    <x v="10"/>
    <s v="CUST-1101"/>
    <s v="Asha Das"/>
    <x v="1"/>
    <x v="13"/>
    <s v="Ahmedabad"/>
    <x v="0"/>
    <s v="Tables"/>
    <x v="16"/>
    <n v="2"/>
    <n v="42548.160000000003"/>
    <n v="0.1"/>
    <n v="2088.0500000000002"/>
  </r>
  <r>
    <s v="ORD-1179"/>
    <x v="11"/>
    <s v="CUST-1137"/>
    <s v="Asha Patel"/>
    <x v="3"/>
    <x v="5"/>
    <s v="Warangal"/>
    <x v="1"/>
    <s v="Laptops"/>
    <x v="15"/>
    <n v="6"/>
    <n v="230870.39999999999"/>
    <n v="0.1"/>
    <n v="24003.42"/>
  </r>
  <r>
    <s v="ORD-1906"/>
    <x v="11"/>
    <s v="CUST-1003"/>
    <s v="Divya Kumar"/>
    <x v="3"/>
    <x v="4"/>
    <s v="Mysuru"/>
    <x v="0"/>
    <s v="Tables"/>
    <x v="16"/>
    <n v="7"/>
    <n v="129167.7"/>
    <n v="0.1"/>
    <n v="26427.62"/>
  </r>
  <r>
    <s v="ORD-1332"/>
    <x v="11"/>
    <s v="CUST-1224"/>
    <s v="Ananya Singh"/>
    <x v="3"/>
    <x v="9"/>
    <s v="Coimbatore"/>
    <x v="0"/>
    <s v="Chairs"/>
    <x v="19"/>
    <n v="4"/>
    <n v="39922.61"/>
    <n v="0.15"/>
    <n v="3739.37"/>
  </r>
  <r>
    <s v="ORD-1830"/>
    <x v="12"/>
    <s v="CUST-1085"/>
    <s v="Kavya Kumar"/>
    <x v="2"/>
    <x v="2"/>
    <s v="Amritsar"/>
    <x v="0"/>
    <s v="Storage"/>
    <x v="13"/>
    <n v="2"/>
    <n v="14717.32"/>
    <n v="0.15"/>
    <n v="475.31"/>
  </r>
  <r>
    <s v="ORD-1663"/>
    <x v="12"/>
    <s v="CUST-1238"/>
    <s v="Aarav Verma"/>
    <x v="1"/>
    <x v="3"/>
    <s v="Jaipur"/>
    <x v="0"/>
    <s v="Storage"/>
    <x v="20"/>
    <n v="7"/>
    <n v="33056.089999999997"/>
    <n v="0.05"/>
    <n v="6935.53"/>
  </r>
  <r>
    <s v="ORD-1432"/>
    <x v="13"/>
    <s v="CUST-1217"/>
    <s v="Meera Das"/>
    <x v="3"/>
    <x v="11"/>
    <s v="Kochi"/>
    <x v="0"/>
    <s v="Storage"/>
    <x v="13"/>
    <n v="7"/>
    <n v="49976.78"/>
    <n v="0.2"/>
    <n v="8422.99"/>
  </r>
  <r>
    <s v="ORD-1070"/>
    <x v="13"/>
    <s v="CUST-1111"/>
    <s v="Aarav Patel"/>
    <x v="0"/>
    <x v="16"/>
    <s v="Patna"/>
    <x v="0"/>
    <s v="Tables"/>
    <x v="5"/>
    <n v="3"/>
    <n v="24972.45"/>
    <n v="0.1"/>
    <n v="1624.93"/>
  </r>
  <r>
    <s v="ORD-1250"/>
    <x v="14"/>
    <s v="CUST-1137"/>
    <s v="Rohan Rao"/>
    <x v="1"/>
    <x v="13"/>
    <s v="Surat"/>
    <x v="1"/>
    <s v="Phones"/>
    <x v="18"/>
    <n v="1"/>
    <n v="42349.91"/>
    <n v="0"/>
    <n v="5710.61"/>
  </r>
  <r>
    <s v="ORD-1535"/>
    <x v="14"/>
    <s v="CUST-1059"/>
    <s v="Sanjay Kumar"/>
    <x v="3"/>
    <x v="4"/>
    <s v="Bengaluru"/>
    <x v="2"/>
    <s v="Stationery"/>
    <x v="21"/>
    <n v="2"/>
    <n v="544.04999999999995"/>
    <n v="0.15"/>
    <n v="105.61"/>
  </r>
  <r>
    <s v="ORD-1451"/>
    <x v="14"/>
    <s v="CUST-1236"/>
    <s v="Kavya Verma"/>
    <x v="2"/>
    <x v="12"/>
    <s v="New Delhi"/>
    <x v="2"/>
    <s v="Stationery"/>
    <x v="22"/>
    <n v="5"/>
    <n v="1245.31"/>
    <n v="0"/>
    <n v="240.12"/>
  </r>
  <r>
    <s v="ORD-1717"/>
    <x v="15"/>
    <s v="CUST-1056"/>
    <s v="Priya Kumar"/>
    <x v="2"/>
    <x v="12"/>
    <s v="New Delhi"/>
    <x v="0"/>
    <s v="Chairs"/>
    <x v="0"/>
    <n v="2"/>
    <n v="10817.11"/>
    <n v="0.2"/>
    <n v="1167.69"/>
  </r>
  <r>
    <s v="ORD-1193"/>
    <x v="15"/>
    <s v="CUST-1098"/>
    <s v="Sneha Rao"/>
    <x v="3"/>
    <x v="10"/>
    <s v="Vijayawada"/>
    <x v="2"/>
    <s v="Stationery"/>
    <x v="22"/>
    <n v="4"/>
    <n v="837.74"/>
    <n v="0.1"/>
    <n v="140.25"/>
  </r>
  <r>
    <s v="ORD-1709"/>
    <x v="15"/>
    <s v="CUST-1124"/>
    <s v="Sneha Patel"/>
    <x v="1"/>
    <x v="1"/>
    <s v="Mumbai"/>
    <x v="1"/>
    <s v="Laptops"/>
    <x v="10"/>
    <n v="6"/>
    <n v="462270.63"/>
    <n v="0.05"/>
    <n v="103104.95"/>
  </r>
  <r>
    <s v="ORD-1872"/>
    <x v="15"/>
    <s v="CUST-1007"/>
    <s v="Aditya Patel"/>
    <x v="3"/>
    <x v="10"/>
    <s v="Tirupati"/>
    <x v="1"/>
    <s v="Accessories"/>
    <x v="4"/>
    <n v="6"/>
    <n v="5186.09"/>
    <n v="0"/>
    <n v="994.28"/>
  </r>
  <r>
    <s v="ORD-1444"/>
    <x v="16"/>
    <s v="CUST-1071"/>
    <s v="Aarav Sharma"/>
    <x v="3"/>
    <x v="9"/>
    <s v="Coimbatore"/>
    <x v="0"/>
    <s v="Tables"/>
    <x v="5"/>
    <n v="2"/>
    <n v="17845.91"/>
    <n v="0"/>
    <n v="1287.92"/>
  </r>
  <r>
    <s v="ORD-1789"/>
    <x v="16"/>
    <s v="CUST-1215"/>
    <s v="Meera Rao"/>
    <x v="1"/>
    <x v="13"/>
    <s v="Ahmedabad"/>
    <x v="0"/>
    <s v="Tables"/>
    <x v="5"/>
    <n v="7"/>
    <n v="59697.440000000002"/>
    <n v="0.15"/>
    <n v="6346.29"/>
  </r>
  <r>
    <s v="ORD-1777"/>
    <x v="17"/>
    <s v="CUST-1231"/>
    <s v="Sneha Reddy"/>
    <x v="2"/>
    <x v="6"/>
    <s v="Faridabad"/>
    <x v="0"/>
    <s v="Chairs"/>
    <x v="0"/>
    <n v="1"/>
    <n v="6214.79"/>
    <n v="0"/>
    <n v="401.01"/>
  </r>
  <r>
    <s v="ORD-1284"/>
    <x v="17"/>
    <s v="CUST-1214"/>
    <s v="Arjun Reddy"/>
    <x v="1"/>
    <x v="1"/>
    <s v="Pune"/>
    <x v="1"/>
    <s v="Phones"/>
    <x v="11"/>
    <n v="5"/>
    <n v="146356.22"/>
    <n v="0"/>
    <n v="16309.42"/>
  </r>
  <r>
    <s v="ORD-1042"/>
    <x v="17"/>
    <s v="CUST-1039"/>
    <s v="Rahul Reddy"/>
    <x v="0"/>
    <x v="7"/>
    <s v="Ranchi"/>
    <x v="1"/>
    <s v="Accessories"/>
    <x v="8"/>
    <n v="5"/>
    <n v="12264.66"/>
    <n v="0.05"/>
    <n v="1162.33"/>
  </r>
  <r>
    <s v="ORD-1475"/>
    <x v="18"/>
    <s v="CUST-1216"/>
    <s v="Vikram Nair"/>
    <x v="2"/>
    <x v="2"/>
    <s v="Ludhiana"/>
    <x v="0"/>
    <s v="Tables"/>
    <x v="5"/>
    <n v="5"/>
    <n v="38029.019999999997"/>
    <n v="0.15"/>
    <n v="1618.12"/>
  </r>
  <r>
    <s v="ORD-1564"/>
    <x v="18"/>
    <s v="CUST-1061"/>
    <s v="Sneha Patel"/>
    <x v="3"/>
    <x v="10"/>
    <s v="Tirupati"/>
    <x v="2"/>
    <s v="Organizers"/>
    <x v="23"/>
    <n v="5"/>
    <n v="3311.44"/>
    <n v="0.05"/>
    <n v="703.93"/>
  </r>
  <r>
    <s v="ORD-1844"/>
    <x v="18"/>
    <s v="CUST-1201"/>
    <s v="Arjun Das"/>
    <x v="0"/>
    <x v="0"/>
    <s v="Kolkata"/>
    <x v="1"/>
    <s v="Phones"/>
    <x v="1"/>
    <n v="1"/>
    <n v="15444.89"/>
    <n v="0.15"/>
    <n v="1942.72"/>
  </r>
  <r>
    <s v="ORD-1200"/>
    <x v="19"/>
    <s v="CUST-1158"/>
    <s v="Kiran Reddy"/>
    <x v="1"/>
    <x v="13"/>
    <s v="Surat"/>
    <x v="1"/>
    <s v="Phones"/>
    <x v="18"/>
    <n v="6"/>
    <n v="258108.29"/>
    <n v="0.05"/>
    <n v="35454.949999999997"/>
  </r>
  <r>
    <s v="ORD-1143"/>
    <x v="19"/>
    <s v="CUST-1151"/>
    <s v="Aditya Das"/>
    <x v="1"/>
    <x v="1"/>
    <s v="Nagpur"/>
    <x v="0"/>
    <s v="Storage"/>
    <x v="20"/>
    <n v="7"/>
    <n v="30788.27"/>
    <n v="0.15"/>
    <n v="6219.05"/>
  </r>
  <r>
    <s v="ORD-1282"/>
    <x v="20"/>
    <s v="CUST-1115"/>
    <s v="Arjun Gupta"/>
    <x v="0"/>
    <x v="7"/>
    <s v="Ranchi"/>
    <x v="1"/>
    <s v="Laptops"/>
    <x v="15"/>
    <n v="4"/>
    <n v="165240.76"/>
    <n v="0.1"/>
    <n v="16024.87"/>
  </r>
  <r>
    <s v="ORD-1021"/>
    <x v="20"/>
    <s v="CUST-1238"/>
    <s v="Sneha Rao"/>
    <x v="3"/>
    <x v="4"/>
    <s v="Bengaluru"/>
    <x v="0"/>
    <s v="Storage"/>
    <x v="20"/>
    <n v="1"/>
    <n v="4782.33"/>
    <n v="0.05"/>
    <n v="677.11"/>
  </r>
  <r>
    <s v="ORD-1630"/>
    <x v="20"/>
    <s v="CUST-1034"/>
    <s v="Nisha Sharma"/>
    <x v="2"/>
    <x v="14"/>
    <s v="Lucknow"/>
    <x v="2"/>
    <s v="Paper"/>
    <x v="7"/>
    <n v="6"/>
    <n v="1933.32"/>
    <n v="0"/>
    <n v="195.07"/>
  </r>
  <r>
    <s v="ORD-1127"/>
    <x v="21"/>
    <s v="CUST-1148"/>
    <s v="Arjun Patel"/>
    <x v="2"/>
    <x v="12"/>
    <s v="New Delhi"/>
    <x v="0"/>
    <s v="Storage"/>
    <x v="3"/>
    <n v="7"/>
    <n v="49292.89"/>
    <n v="0.05"/>
    <n v="8916.61"/>
  </r>
  <r>
    <s v="ORD-1160"/>
    <x v="22"/>
    <s v="CUST-1141"/>
    <s v="Priya Gupta"/>
    <x v="1"/>
    <x v="1"/>
    <s v="Nagpur"/>
    <x v="0"/>
    <s v="Tables"/>
    <x v="5"/>
    <n v="6"/>
    <n v="57023.4"/>
    <n v="0"/>
    <n v="7513.37"/>
  </r>
  <r>
    <s v="ORD-1714"/>
    <x v="22"/>
    <s v="CUST-1250"/>
    <s v="Arjun Das"/>
    <x v="0"/>
    <x v="16"/>
    <s v="Patna"/>
    <x v="2"/>
    <s v="Stationery"/>
    <x v="22"/>
    <n v="1"/>
    <n v="190.7"/>
    <n v="0.2"/>
    <n v="4.22"/>
  </r>
  <r>
    <s v="ORD-1106"/>
    <x v="22"/>
    <s v="CUST-1005"/>
    <s v="Aditya Reddy"/>
    <x v="1"/>
    <x v="8"/>
    <s v="Panaji"/>
    <x v="1"/>
    <s v="Phones"/>
    <x v="18"/>
    <n v="1"/>
    <n v="33046.33"/>
    <n v="0.15"/>
    <n v="2948.7"/>
  </r>
  <r>
    <s v="ORD-1258"/>
    <x v="23"/>
    <s v="CUST-1025"/>
    <s v="Isha Kumar"/>
    <x v="3"/>
    <x v="4"/>
    <s v="Mysuru"/>
    <x v="0"/>
    <s v="Tables"/>
    <x v="12"/>
    <n v="1"/>
    <n v="5232.33"/>
    <n v="0"/>
    <n v="446.55"/>
  </r>
  <r>
    <s v="ORD-1137"/>
    <x v="23"/>
    <s v="CUST-1136"/>
    <s v="Varun Gupta"/>
    <x v="0"/>
    <x v="15"/>
    <s v="Bhubaneswar"/>
    <x v="0"/>
    <s v="Storage"/>
    <x v="20"/>
    <n v="2"/>
    <n v="8766.6200000000008"/>
    <n v="0.05"/>
    <n v="823.59"/>
  </r>
  <r>
    <s v="ORD-1399"/>
    <x v="23"/>
    <s v="CUST-1153"/>
    <s v="Manoj Sharma"/>
    <x v="1"/>
    <x v="8"/>
    <s v="Panaji"/>
    <x v="1"/>
    <s v="Phones"/>
    <x v="18"/>
    <n v="5"/>
    <n v="212840.65"/>
    <n v="0"/>
    <n v="49906.43"/>
  </r>
  <r>
    <s v="ORD-1918"/>
    <x v="24"/>
    <s v="CUST-1128"/>
    <s v="Isha Singh"/>
    <x v="2"/>
    <x v="6"/>
    <s v="Gurugram"/>
    <x v="0"/>
    <s v="Tables"/>
    <x v="16"/>
    <n v="1"/>
    <n v="23155.52"/>
    <n v="0"/>
    <n v="2439.0500000000002"/>
  </r>
  <r>
    <s v="ORD-1375"/>
    <x v="24"/>
    <s v="CUST-1055"/>
    <s v="Asha Patel"/>
    <x v="1"/>
    <x v="1"/>
    <s v="Mumbai"/>
    <x v="1"/>
    <s v="Accessories"/>
    <x v="24"/>
    <n v="4"/>
    <n v="6069.12"/>
    <n v="0"/>
    <n v="1244.03"/>
  </r>
  <r>
    <s v="ORD-1506"/>
    <x v="24"/>
    <s v="CUST-1220"/>
    <s v="Divya Das"/>
    <x v="3"/>
    <x v="10"/>
    <s v="Vijayawada"/>
    <x v="0"/>
    <s v="Storage"/>
    <x v="20"/>
    <n v="3"/>
    <n v="14236.95"/>
    <n v="0"/>
    <n v="2168.5100000000002"/>
  </r>
  <r>
    <s v="ORD-1011"/>
    <x v="25"/>
    <s v="CUST-1108"/>
    <s v="Meera Patel"/>
    <x v="0"/>
    <x v="16"/>
    <s v="Patna"/>
    <x v="1"/>
    <s v="Laptops"/>
    <x v="9"/>
    <n v="2"/>
    <n v="107649.72"/>
    <n v="0.15"/>
    <n v="20115.740000000002"/>
  </r>
  <r>
    <s v="ORD-1304"/>
    <x v="25"/>
    <s v="CUST-1011"/>
    <s v="Nisha Das"/>
    <x v="1"/>
    <x v="3"/>
    <s v="Udaipur"/>
    <x v="2"/>
    <s v="Paper"/>
    <x v="25"/>
    <n v="7"/>
    <n v="3678.97"/>
    <n v="0"/>
    <n v="564.58000000000004"/>
  </r>
  <r>
    <s v="ORD-1932"/>
    <x v="25"/>
    <s v="CUST-1156"/>
    <s v="Kiran Reddy"/>
    <x v="2"/>
    <x v="6"/>
    <s v="Gurugram"/>
    <x v="2"/>
    <s v="Organizers"/>
    <x v="23"/>
    <n v="2"/>
    <n v="1167.05"/>
    <n v="0.1"/>
    <n v="162.22"/>
  </r>
  <r>
    <s v="ORD-1995"/>
    <x v="25"/>
    <s v="CUST-1086"/>
    <s v="Divya Rao"/>
    <x v="2"/>
    <x v="12"/>
    <s v="New Delhi"/>
    <x v="2"/>
    <s v="Organizers"/>
    <x v="23"/>
    <n v="2"/>
    <n v="1100.6099999999999"/>
    <n v="0.15"/>
    <n v="220.26"/>
  </r>
  <r>
    <s v="ORD-1947"/>
    <x v="25"/>
    <s v="CUST-1064"/>
    <s v="Vikram Reddy"/>
    <x v="2"/>
    <x v="2"/>
    <s v="Ludhiana"/>
    <x v="1"/>
    <s v="Accessories"/>
    <x v="4"/>
    <n v="6"/>
    <n v="5414.64"/>
    <n v="0.05"/>
    <n v="856.23"/>
  </r>
  <r>
    <s v="ORD-1926"/>
    <x v="25"/>
    <s v="CUST-1105"/>
    <s v="Kiran Patel"/>
    <x v="3"/>
    <x v="4"/>
    <s v="Mysuru"/>
    <x v="2"/>
    <s v="Organizers"/>
    <x v="2"/>
    <n v="4"/>
    <n v="1986.9"/>
    <n v="0"/>
    <n v="362.35"/>
  </r>
  <r>
    <s v="ORD-1075"/>
    <x v="26"/>
    <s v="CUST-1206"/>
    <s v="Kavya Nair"/>
    <x v="0"/>
    <x v="0"/>
    <s v="Kolkata"/>
    <x v="2"/>
    <s v="Organizers"/>
    <x v="2"/>
    <n v="1"/>
    <n v="439.38"/>
    <n v="0.1"/>
    <n v="51.12"/>
  </r>
  <r>
    <s v="ORD-1560"/>
    <x v="26"/>
    <s v="CUST-1195"/>
    <s v="Nisha Nair"/>
    <x v="3"/>
    <x v="5"/>
    <s v="Hyderabad"/>
    <x v="2"/>
    <s v="Organizers"/>
    <x v="2"/>
    <n v="7"/>
    <n v="2842.03"/>
    <n v="0.2"/>
    <n v="265.52999999999997"/>
  </r>
  <r>
    <s v="ORD-1752"/>
    <x v="27"/>
    <s v="CUST-1246"/>
    <s v="Isha Singh"/>
    <x v="3"/>
    <x v="9"/>
    <s v="Coimbatore"/>
    <x v="2"/>
    <s v="Stationery"/>
    <x v="26"/>
    <n v="4"/>
    <n v="740.4"/>
    <n v="0"/>
    <n v="147.34"/>
  </r>
  <r>
    <s v="ORD-1925"/>
    <x v="27"/>
    <s v="CUST-1116"/>
    <s v="Vikram Das"/>
    <x v="2"/>
    <x v="2"/>
    <s v="Amritsar"/>
    <x v="2"/>
    <s v="Paper"/>
    <x v="17"/>
    <n v="6"/>
    <n v="2006.18"/>
    <n v="0.2"/>
    <n v="283.29000000000002"/>
  </r>
  <r>
    <s v="ORD-1648"/>
    <x v="27"/>
    <s v="CUST-1058"/>
    <s v="Kavya Verma"/>
    <x v="3"/>
    <x v="5"/>
    <s v="Hyderabad"/>
    <x v="0"/>
    <s v="Storage"/>
    <x v="3"/>
    <n v="2"/>
    <n v="12387.21"/>
    <n v="0.15"/>
    <n v="1449.46"/>
  </r>
  <r>
    <s v="ORD-1276"/>
    <x v="28"/>
    <s v="CUST-1187"/>
    <s v="Priya Nair"/>
    <x v="1"/>
    <x v="3"/>
    <s v="Udaipur"/>
    <x v="2"/>
    <s v="Paper"/>
    <x v="7"/>
    <n v="1"/>
    <n v="327.95"/>
    <n v="0.05"/>
    <n v="60.9"/>
  </r>
  <r>
    <s v="ORD-1613"/>
    <x v="29"/>
    <s v="CUST-1103"/>
    <s v="Ananya Reddy"/>
    <x v="0"/>
    <x v="16"/>
    <s v="Patna"/>
    <x v="1"/>
    <s v="Phones"/>
    <x v="11"/>
    <n v="5"/>
    <n v="120141.86"/>
    <n v="0.1"/>
    <n v="16420.39"/>
  </r>
  <r>
    <s v="ORD-1088"/>
    <x v="29"/>
    <s v="CUST-1017"/>
    <s v="Arjun Nair"/>
    <x v="3"/>
    <x v="11"/>
    <s v="Kochi"/>
    <x v="0"/>
    <s v="Chairs"/>
    <x v="6"/>
    <n v="6"/>
    <n v="13519.3"/>
    <n v="0.2"/>
    <n v="1673.32"/>
  </r>
  <r>
    <s v="ORD-1060"/>
    <x v="29"/>
    <s v="CUST-1111"/>
    <s v="Kavya Gupta"/>
    <x v="0"/>
    <x v="7"/>
    <s v="Ranchi"/>
    <x v="0"/>
    <s v="Tables"/>
    <x v="16"/>
    <n v="1"/>
    <n v="19518.66"/>
    <n v="0.05"/>
    <n v="2862.98"/>
  </r>
  <r>
    <s v="ORD-1471"/>
    <x v="30"/>
    <s v="CUST-1119"/>
    <s v="Nisha Das"/>
    <x v="2"/>
    <x v="12"/>
    <s v="New Delhi"/>
    <x v="1"/>
    <s v="Laptops"/>
    <x v="15"/>
    <n v="5"/>
    <n v="197502.66"/>
    <n v="0.15"/>
    <n v="38937.14"/>
  </r>
  <r>
    <s v="ORD-1741"/>
    <x v="30"/>
    <s v="CUST-1028"/>
    <s v="Vikram Rao"/>
    <x v="2"/>
    <x v="6"/>
    <s v="Gurugram"/>
    <x v="2"/>
    <s v="Stationery"/>
    <x v="22"/>
    <n v="1"/>
    <n v="235.86"/>
    <n v="0.1"/>
    <n v="28.18"/>
  </r>
  <r>
    <s v="ORD-1424"/>
    <x v="30"/>
    <s v="CUST-1190"/>
    <s v="Aarav Patel"/>
    <x v="0"/>
    <x v="16"/>
    <s v="Patna"/>
    <x v="0"/>
    <s v="Chairs"/>
    <x v="6"/>
    <n v="2"/>
    <n v="5280.46"/>
    <n v="0.1"/>
    <n v="330.39"/>
  </r>
  <r>
    <s v="ORD-1755"/>
    <x v="30"/>
    <s v="CUST-1193"/>
    <s v="Kavya Rao"/>
    <x v="0"/>
    <x v="7"/>
    <s v="Ranchi"/>
    <x v="2"/>
    <s v="Paper"/>
    <x v="17"/>
    <n v="3"/>
    <n v="1200.57"/>
    <n v="0.05"/>
    <n v="212.93"/>
  </r>
  <r>
    <s v="ORD-1386"/>
    <x v="31"/>
    <s v="CUST-1173"/>
    <s v="Ananya Rao"/>
    <x v="1"/>
    <x v="13"/>
    <s v="Surat"/>
    <x v="1"/>
    <s v="Laptops"/>
    <x v="9"/>
    <n v="2"/>
    <n v="97717.41"/>
    <n v="0.2"/>
    <n v="4474.54"/>
  </r>
  <r>
    <s v="ORD-1904"/>
    <x v="31"/>
    <s v="CUST-1131"/>
    <s v="Rohan Gupta"/>
    <x v="2"/>
    <x v="14"/>
    <s v="Noida"/>
    <x v="1"/>
    <s v="Phones"/>
    <x v="18"/>
    <n v="2"/>
    <n v="64731.839999999997"/>
    <n v="0.2"/>
    <n v="5959.47"/>
  </r>
  <r>
    <s v="ORD-1036"/>
    <x v="31"/>
    <s v="CUST-1210"/>
    <s v="Sanjay Das"/>
    <x v="2"/>
    <x v="12"/>
    <s v="New Delhi"/>
    <x v="2"/>
    <s v="Paper"/>
    <x v="7"/>
    <n v="1"/>
    <n v="318.83"/>
    <n v="0.1"/>
    <n v="54.74"/>
  </r>
  <r>
    <s v="ORD-1885"/>
    <x v="31"/>
    <s v="CUST-1193"/>
    <s v="Ananya Patel"/>
    <x v="0"/>
    <x v="7"/>
    <s v="Ranchi"/>
    <x v="0"/>
    <s v="Storage"/>
    <x v="3"/>
    <n v="3"/>
    <n v="18421.34"/>
    <n v="0.1"/>
    <n v="3003.89"/>
  </r>
  <r>
    <s v="ORD-1296"/>
    <x v="32"/>
    <s v="CUST-1137"/>
    <s v="Divya Gupta"/>
    <x v="2"/>
    <x v="12"/>
    <s v="New Delhi"/>
    <x v="2"/>
    <s v="Paper"/>
    <x v="17"/>
    <n v="1"/>
    <n v="452.48"/>
    <n v="0.05"/>
    <n v="97.17"/>
  </r>
  <r>
    <s v="ORD-1715"/>
    <x v="33"/>
    <s v="CUST-1169"/>
    <s v="Vikram Singh"/>
    <x v="2"/>
    <x v="2"/>
    <s v="Ludhiana"/>
    <x v="0"/>
    <s v="Chairs"/>
    <x v="6"/>
    <n v="2"/>
    <n v="5383.67"/>
    <n v="0.15"/>
    <n v="909.21"/>
  </r>
  <r>
    <s v="ORD-1676"/>
    <x v="33"/>
    <s v="CUST-1114"/>
    <s v="Manoj Gupta"/>
    <x v="3"/>
    <x v="5"/>
    <s v="Warangal"/>
    <x v="2"/>
    <s v="Organizers"/>
    <x v="14"/>
    <n v="7"/>
    <n v="4767.7"/>
    <n v="0.05"/>
    <n v="637.88"/>
  </r>
  <r>
    <s v="ORD-1684"/>
    <x v="33"/>
    <s v="CUST-1025"/>
    <s v="Kiran Sharma"/>
    <x v="3"/>
    <x v="5"/>
    <s v="Warangal"/>
    <x v="1"/>
    <s v="Phones"/>
    <x v="11"/>
    <n v="5"/>
    <n v="145787.82"/>
    <n v="0"/>
    <n v="24650.17"/>
  </r>
  <r>
    <s v="ORD-1937"/>
    <x v="33"/>
    <s v="CUST-1245"/>
    <s v="Nisha Verma"/>
    <x v="0"/>
    <x v="7"/>
    <s v="Ranchi"/>
    <x v="0"/>
    <s v="Tables"/>
    <x v="16"/>
    <n v="2"/>
    <n v="36521.21"/>
    <n v="0.1"/>
    <n v="1506.59"/>
  </r>
  <r>
    <s v="ORD-1206"/>
    <x v="34"/>
    <s v="CUST-1137"/>
    <s v="Rahul Reddy"/>
    <x v="0"/>
    <x v="16"/>
    <s v="Patna"/>
    <x v="1"/>
    <s v="Accessories"/>
    <x v="4"/>
    <n v="3"/>
    <n v="2261.33"/>
    <n v="0.15"/>
    <n v="376.88"/>
  </r>
  <r>
    <s v="ORD-1952"/>
    <x v="34"/>
    <s v="CUST-1202"/>
    <s v="Meera Sharma"/>
    <x v="1"/>
    <x v="8"/>
    <s v="Panaji"/>
    <x v="1"/>
    <s v="Laptops"/>
    <x v="10"/>
    <n v="2"/>
    <n v="146769.12"/>
    <n v="0.05"/>
    <n v="19128.650000000001"/>
  </r>
  <r>
    <s v="ORD-1762"/>
    <x v="34"/>
    <s v="CUST-1105"/>
    <s v="Ananya Nair"/>
    <x v="1"/>
    <x v="13"/>
    <s v="Ahmedabad"/>
    <x v="1"/>
    <s v="Accessories"/>
    <x v="24"/>
    <n v="1"/>
    <n v="1374.83"/>
    <n v="0.15"/>
    <n v="209.32"/>
  </r>
  <r>
    <s v="ORD-1110"/>
    <x v="34"/>
    <s v="CUST-1159"/>
    <s v="Divya Patel"/>
    <x v="0"/>
    <x v="0"/>
    <s v="Kolkata"/>
    <x v="2"/>
    <s v="Organizers"/>
    <x v="14"/>
    <n v="7"/>
    <n v="5518.76"/>
    <n v="0"/>
    <n v="558.24"/>
  </r>
  <r>
    <s v="ORD-1726"/>
    <x v="35"/>
    <s v="CUST-1038"/>
    <s v="Pooja Das"/>
    <x v="3"/>
    <x v="5"/>
    <s v="Warangal"/>
    <x v="0"/>
    <s v="Chairs"/>
    <x v="6"/>
    <n v="2"/>
    <n v="5405.8"/>
    <n v="0.05"/>
    <n v="376.97"/>
  </r>
  <r>
    <s v="ORD-1837"/>
    <x v="35"/>
    <s v="CUST-1008"/>
    <s v="Kavya Gupta"/>
    <x v="3"/>
    <x v="4"/>
    <s v="Bengaluru"/>
    <x v="0"/>
    <s v="Storage"/>
    <x v="13"/>
    <n v="6"/>
    <n v="46703.77"/>
    <n v="0.1"/>
    <n v="7278.29"/>
  </r>
  <r>
    <s v="ORD-1897"/>
    <x v="35"/>
    <s v="CUST-1109"/>
    <s v="Isha Reddy"/>
    <x v="1"/>
    <x v="8"/>
    <s v="Panaji"/>
    <x v="1"/>
    <s v="Laptops"/>
    <x v="9"/>
    <n v="6"/>
    <n v="372639.2"/>
    <n v="0"/>
    <n v="52878.54"/>
  </r>
  <r>
    <s v="ORD-1210"/>
    <x v="36"/>
    <s v="CUST-1196"/>
    <s v="Ananya Gupta"/>
    <x v="3"/>
    <x v="10"/>
    <s v="Vijayawada"/>
    <x v="0"/>
    <s v="Chairs"/>
    <x v="19"/>
    <n v="3"/>
    <n v="34423.78"/>
    <n v="0"/>
    <n v="6590.24"/>
  </r>
  <r>
    <s v="ORD-1123"/>
    <x v="36"/>
    <s v="CUST-1114"/>
    <s v="Meera Gupta"/>
    <x v="3"/>
    <x v="4"/>
    <s v="Bengaluru"/>
    <x v="2"/>
    <s v="Stationery"/>
    <x v="21"/>
    <n v="3"/>
    <n v="1027"/>
    <n v="0"/>
    <n v="71.23"/>
  </r>
  <r>
    <s v="ORD-1761"/>
    <x v="37"/>
    <s v="CUST-1209"/>
    <s v="Nisha Rao"/>
    <x v="0"/>
    <x v="15"/>
    <s v="Bhubaneswar"/>
    <x v="0"/>
    <s v="Tables"/>
    <x v="5"/>
    <n v="5"/>
    <n v="40188.019999999997"/>
    <n v="0.1"/>
    <n v="7296.82"/>
  </r>
  <r>
    <s v="ORD-1449"/>
    <x v="37"/>
    <s v="CUST-1098"/>
    <s v="Aarav Reddy"/>
    <x v="3"/>
    <x v="9"/>
    <s v="Coimbatore"/>
    <x v="0"/>
    <s v="Storage"/>
    <x v="20"/>
    <n v="6"/>
    <n v="30214.13"/>
    <n v="0.05"/>
    <n v="6434.21"/>
  </r>
  <r>
    <s v="ORD-1167"/>
    <x v="37"/>
    <s v="CUST-1141"/>
    <s v="Sanjay Nair"/>
    <x v="3"/>
    <x v="4"/>
    <s v="Mysuru"/>
    <x v="1"/>
    <s v="Laptops"/>
    <x v="10"/>
    <n v="1"/>
    <n v="74238.64"/>
    <n v="0.1"/>
    <n v="8213.09"/>
  </r>
  <r>
    <s v="ORD-1629"/>
    <x v="37"/>
    <s v="CUST-1094"/>
    <s v="Isha Verma"/>
    <x v="1"/>
    <x v="13"/>
    <s v="Ahmedabad"/>
    <x v="1"/>
    <s v="Phones"/>
    <x v="18"/>
    <n v="3"/>
    <n v="131849.04999999999"/>
    <n v="0"/>
    <n v="13079.5"/>
  </r>
  <r>
    <s v="ORD-1480"/>
    <x v="37"/>
    <s v="CUST-1147"/>
    <s v="Divya Singh"/>
    <x v="3"/>
    <x v="4"/>
    <s v="Bengaluru"/>
    <x v="2"/>
    <s v="Paper"/>
    <x v="25"/>
    <n v="4"/>
    <n v="1911.76"/>
    <n v="0.1"/>
    <n v="254.45"/>
  </r>
  <r>
    <s v="ORD-1487"/>
    <x v="37"/>
    <s v="CUST-1166"/>
    <s v="Ananya Singh"/>
    <x v="2"/>
    <x v="6"/>
    <s v="Gurugram"/>
    <x v="2"/>
    <s v="Paper"/>
    <x v="7"/>
    <n v="7"/>
    <n v="2015.39"/>
    <n v="0.2"/>
    <n v="172.14"/>
  </r>
  <r>
    <s v="ORD-1800"/>
    <x v="38"/>
    <s v="CUST-1169"/>
    <s v="Arjun Nair"/>
    <x v="3"/>
    <x v="5"/>
    <s v="Warangal"/>
    <x v="0"/>
    <s v="Storage"/>
    <x v="3"/>
    <n v="7"/>
    <n v="47406.71"/>
    <n v="0.1"/>
    <n v="2706.14"/>
  </r>
  <r>
    <s v="ORD-1817"/>
    <x v="39"/>
    <s v="CUST-1220"/>
    <s v="Arjun Nair"/>
    <x v="3"/>
    <x v="11"/>
    <s v="Thiruvananthapuram"/>
    <x v="0"/>
    <s v="Tables"/>
    <x v="5"/>
    <n v="5"/>
    <n v="45120.480000000003"/>
    <n v="0.1"/>
    <n v="2323.52"/>
  </r>
  <r>
    <s v="ORD-1832"/>
    <x v="39"/>
    <s v="CUST-1186"/>
    <s v="Sneha Rao"/>
    <x v="0"/>
    <x v="16"/>
    <s v="Patna"/>
    <x v="1"/>
    <s v="Phones"/>
    <x v="1"/>
    <n v="2"/>
    <n v="30708.43"/>
    <n v="0.2"/>
    <n v="3634.52"/>
  </r>
  <r>
    <s v="ORD-1364"/>
    <x v="40"/>
    <s v="CUST-1194"/>
    <s v="Kavya Das"/>
    <x v="1"/>
    <x v="3"/>
    <s v="Udaipur"/>
    <x v="2"/>
    <s v="Organizers"/>
    <x v="14"/>
    <n v="6"/>
    <n v="4595.57"/>
    <n v="0.05"/>
    <n v="446.79"/>
  </r>
  <r>
    <s v="ORD-1340"/>
    <x v="40"/>
    <s v="CUST-1127"/>
    <s v="Isha Reddy"/>
    <x v="3"/>
    <x v="10"/>
    <s v="Tirupati"/>
    <x v="1"/>
    <s v="Laptops"/>
    <x v="15"/>
    <n v="2"/>
    <n v="82152.570000000007"/>
    <n v="0.1"/>
    <n v="14401.49"/>
  </r>
  <r>
    <s v="ORD-1916"/>
    <x v="40"/>
    <s v="CUST-1009"/>
    <s v="Asha Rao"/>
    <x v="2"/>
    <x v="12"/>
    <s v="New Delhi"/>
    <x v="1"/>
    <s v="Phones"/>
    <x v="1"/>
    <n v="1"/>
    <n v="17147.61"/>
    <n v="0.05"/>
    <n v="903.56"/>
  </r>
  <r>
    <s v="ORD-1518"/>
    <x v="40"/>
    <s v="CUST-1139"/>
    <s v="Sneha Das"/>
    <x v="0"/>
    <x v="16"/>
    <s v="Patna"/>
    <x v="0"/>
    <s v="Chairs"/>
    <x v="19"/>
    <n v="2"/>
    <n v="22996.92"/>
    <n v="0.05"/>
    <n v="2383.21"/>
  </r>
  <r>
    <s v="ORD-1829"/>
    <x v="41"/>
    <s v="CUST-1136"/>
    <s v="Arjun Kumar"/>
    <x v="0"/>
    <x v="7"/>
    <s v="Ranchi"/>
    <x v="1"/>
    <s v="Phones"/>
    <x v="1"/>
    <n v="6"/>
    <n v="96758.66"/>
    <n v="0.05"/>
    <n v="20865.91"/>
  </r>
  <r>
    <s v="ORD-1866"/>
    <x v="42"/>
    <s v="CUST-1214"/>
    <s v="Nisha Reddy"/>
    <x v="2"/>
    <x v="6"/>
    <s v="Faridabad"/>
    <x v="1"/>
    <s v="Accessories"/>
    <x v="8"/>
    <n v="5"/>
    <n v="10953.14"/>
    <n v="0.05"/>
    <n v="2205.83"/>
  </r>
  <r>
    <s v="ORD-1527"/>
    <x v="42"/>
    <s v="CUST-1095"/>
    <s v="Kiran Gupta"/>
    <x v="2"/>
    <x v="14"/>
    <s v="Noida"/>
    <x v="1"/>
    <s v="Laptops"/>
    <x v="10"/>
    <n v="3"/>
    <n v="215726.21"/>
    <n v="0"/>
    <n v="18367.93"/>
  </r>
  <r>
    <s v="ORD-1028"/>
    <x v="42"/>
    <s v="CUST-1099"/>
    <s v="Kavya Patel"/>
    <x v="3"/>
    <x v="9"/>
    <s v="Coimbatore"/>
    <x v="1"/>
    <s v="Phones"/>
    <x v="1"/>
    <n v="7"/>
    <n v="116961.9"/>
    <n v="0"/>
    <n v="18204.400000000001"/>
  </r>
  <r>
    <s v="ORD-1565"/>
    <x v="43"/>
    <s v="CUST-1153"/>
    <s v="Manoj Kumar"/>
    <x v="2"/>
    <x v="2"/>
    <s v="Amritsar"/>
    <x v="2"/>
    <s v="Paper"/>
    <x v="7"/>
    <n v="1"/>
    <n v="299.24"/>
    <n v="0.15"/>
    <n v="55.3"/>
  </r>
  <r>
    <s v="ORD-1890"/>
    <x v="43"/>
    <s v="CUST-1082"/>
    <s v="Sanjay Sharma"/>
    <x v="1"/>
    <x v="13"/>
    <s v="Ahmedabad"/>
    <x v="1"/>
    <s v="Laptops"/>
    <x v="15"/>
    <n v="6"/>
    <n v="225956.64"/>
    <n v="0.1"/>
    <n v="48024.42"/>
  </r>
  <r>
    <s v="ORD-1834"/>
    <x v="43"/>
    <s v="CUST-1123"/>
    <s v="Nisha Gupta"/>
    <x v="2"/>
    <x v="6"/>
    <s v="Gurugram"/>
    <x v="2"/>
    <s v="Stationery"/>
    <x v="22"/>
    <n v="5"/>
    <n v="1096.4000000000001"/>
    <n v="0.05"/>
    <n v="126.57"/>
  </r>
  <r>
    <s v="ORD-1522"/>
    <x v="43"/>
    <s v="CUST-1095"/>
    <s v="Manoj Nair"/>
    <x v="3"/>
    <x v="5"/>
    <s v="Hyderabad"/>
    <x v="1"/>
    <s v="Laptops"/>
    <x v="15"/>
    <n v="7"/>
    <n v="287862.99"/>
    <n v="0.15"/>
    <n v="32156.23"/>
  </r>
  <r>
    <s v="ORD-1964"/>
    <x v="44"/>
    <s v="CUST-1053"/>
    <s v="Kavya Gupta"/>
    <x v="0"/>
    <x v="7"/>
    <s v="Ranchi"/>
    <x v="1"/>
    <s v="Phones"/>
    <x v="11"/>
    <n v="4"/>
    <n v="86464.14"/>
    <n v="0.2"/>
    <n v="16568.12"/>
  </r>
  <r>
    <s v="ORD-1944"/>
    <x v="44"/>
    <s v="CUST-1228"/>
    <s v="Sanjay Reddy"/>
    <x v="3"/>
    <x v="4"/>
    <s v="Mysuru"/>
    <x v="1"/>
    <s v="Phones"/>
    <x v="18"/>
    <n v="6"/>
    <n v="198898.91"/>
    <n v="0.2"/>
    <n v="13483.33"/>
  </r>
  <r>
    <s v="ORD-1802"/>
    <x v="44"/>
    <s v="CUST-1021"/>
    <s v="Varun Verma"/>
    <x v="1"/>
    <x v="3"/>
    <s v="Udaipur"/>
    <x v="2"/>
    <s v="Organizers"/>
    <x v="23"/>
    <n v="4"/>
    <n v="2232.96"/>
    <n v="0.2"/>
    <n v="188.34"/>
  </r>
  <r>
    <s v="ORD-1878"/>
    <x v="44"/>
    <s v="CUST-1115"/>
    <s v="Rohan Das"/>
    <x v="3"/>
    <x v="11"/>
    <s v="Thiruvananthapuram"/>
    <x v="1"/>
    <s v="Laptops"/>
    <x v="10"/>
    <n v="3"/>
    <n v="235684.74"/>
    <n v="0.05"/>
    <n v="24425.51"/>
  </r>
  <r>
    <s v="ORD-1004"/>
    <x v="45"/>
    <s v="CUST-1104"/>
    <s v="Ananya Reddy"/>
    <x v="3"/>
    <x v="11"/>
    <s v="Thiruvananthapuram"/>
    <x v="0"/>
    <s v="Storage"/>
    <x v="20"/>
    <n v="4"/>
    <n v="17584.54"/>
    <n v="0.05"/>
    <n v="3757.42"/>
  </r>
  <r>
    <s v="ORD-1697"/>
    <x v="46"/>
    <s v="CUST-1181"/>
    <s v="Ananya Sharma"/>
    <x v="2"/>
    <x v="6"/>
    <s v="Faridabad"/>
    <x v="1"/>
    <s v="Phones"/>
    <x v="11"/>
    <n v="7"/>
    <n v="173305.98"/>
    <n v="0.1"/>
    <n v="19902.37"/>
  </r>
  <r>
    <s v="ORD-1055"/>
    <x v="46"/>
    <s v="CUST-1147"/>
    <s v="Arjun Reddy"/>
    <x v="1"/>
    <x v="3"/>
    <s v="Jaipur"/>
    <x v="0"/>
    <s v="Chairs"/>
    <x v="6"/>
    <n v="3"/>
    <n v="8713.15"/>
    <n v="0.1"/>
    <n v="1292.58"/>
  </r>
  <r>
    <s v="ORD-1394"/>
    <x v="47"/>
    <s v="CUST-1111"/>
    <s v="Kiran Rao"/>
    <x v="0"/>
    <x v="16"/>
    <s v="Patna"/>
    <x v="0"/>
    <s v="Tables"/>
    <x v="16"/>
    <n v="5"/>
    <n v="96098.58"/>
    <n v="0.15"/>
    <n v="16158.96"/>
  </r>
  <r>
    <s v="ORD-1038"/>
    <x v="47"/>
    <s v="CUST-1083"/>
    <s v="Varun Singh"/>
    <x v="1"/>
    <x v="8"/>
    <s v="Panaji"/>
    <x v="1"/>
    <s v="Phones"/>
    <x v="1"/>
    <n v="3"/>
    <n v="52438.87"/>
    <n v="0"/>
    <n v="12113.96"/>
  </r>
  <r>
    <s v="ORD-1545"/>
    <x v="47"/>
    <s v="CUST-1037"/>
    <s v="Kavya Reddy"/>
    <x v="0"/>
    <x v="7"/>
    <s v="Ranchi"/>
    <x v="2"/>
    <s v="Stationery"/>
    <x v="26"/>
    <n v="6"/>
    <n v="1065.0899999999999"/>
    <n v="0"/>
    <n v="194.06"/>
  </r>
  <r>
    <s v="ORD-1435"/>
    <x v="48"/>
    <s v="CUST-1184"/>
    <s v="Vikram Gupta"/>
    <x v="3"/>
    <x v="9"/>
    <s v="Coimbatore"/>
    <x v="1"/>
    <s v="Accessories"/>
    <x v="8"/>
    <n v="6"/>
    <n v="14868.98"/>
    <n v="0"/>
    <n v="1117.6400000000001"/>
  </r>
  <r>
    <s v="ORD-1273"/>
    <x v="48"/>
    <s v="CUST-1070"/>
    <s v="Arjun Nair"/>
    <x v="1"/>
    <x v="1"/>
    <s v="Nagpur"/>
    <x v="2"/>
    <s v="Organizers"/>
    <x v="2"/>
    <n v="5"/>
    <n v="1876.8"/>
    <n v="0.15"/>
    <n v="197.03"/>
  </r>
  <r>
    <s v="ORD-1695"/>
    <x v="48"/>
    <s v="CUST-1118"/>
    <s v="Arjun Patel"/>
    <x v="3"/>
    <x v="9"/>
    <s v="Chennai"/>
    <x v="2"/>
    <s v="Paper"/>
    <x v="17"/>
    <n v="1"/>
    <n v="436.12"/>
    <n v="0.05"/>
    <n v="33.619999999999997"/>
  </r>
  <r>
    <s v="ORD-1876"/>
    <x v="49"/>
    <s v="CUST-1001"/>
    <s v="Rohan Rao"/>
    <x v="3"/>
    <x v="9"/>
    <s v="Coimbatore"/>
    <x v="2"/>
    <s v="Stationery"/>
    <x v="26"/>
    <n v="6"/>
    <n v="861.07"/>
    <n v="0.15"/>
    <n v="79.73"/>
  </r>
  <r>
    <s v="ORD-1255"/>
    <x v="49"/>
    <s v="CUST-1186"/>
    <s v="Vikram Patel"/>
    <x v="3"/>
    <x v="9"/>
    <s v="Chennai"/>
    <x v="2"/>
    <s v="Paper"/>
    <x v="7"/>
    <n v="6"/>
    <n v="1941.41"/>
    <n v="0.05"/>
    <n v="216.52"/>
  </r>
  <r>
    <s v="ORD-1656"/>
    <x v="49"/>
    <s v="CUST-1061"/>
    <s v="Kavya Rao"/>
    <x v="1"/>
    <x v="3"/>
    <s v="Jaipur"/>
    <x v="0"/>
    <s v="Tables"/>
    <x v="12"/>
    <n v="1"/>
    <n v="4931.22"/>
    <n v="0.15"/>
    <n v="417.07"/>
  </r>
  <r>
    <s v="ORD-1162"/>
    <x v="50"/>
    <s v="CUST-1207"/>
    <s v="Rohan Das"/>
    <x v="2"/>
    <x v="6"/>
    <s v="Gurugram"/>
    <x v="1"/>
    <s v="Accessories"/>
    <x v="24"/>
    <n v="2"/>
    <n v="2992.61"/>
    <n v="0"/>
    <n v="585.85"/>
  </r>
  <r>
    <s v="ORD-1803"/>
    <x v="51"/>
    <s v="CUST-1120"/>
    <s v="Asha Das"/>
    <x v="2"/>
    <x v="6"/>
    <s v="Faridabad"/>
    <x v="0"/>
    <s v="Storage"/>
    <x v="20"/>
    <n v="5"/>
    <n v="22209.8"/>
    <n v="0.1"/>
    <n v="4747.88"/>
  </r>
  <r>
    <s v="ORD-1450"/>
    <x v="51"/>
    <s v="CUST-1172"/>
    <s v="Priya Kumar"/>
    <x v="3"/>
    <x v="10"/>
    <s v="Visakhapatnam"/>
    <x v="1"/>
    <s v="Phones"/>
    <x v="18"/>
    <n v="6"/>
    <n v="208629.64"/>
    <n v="0.2"/>
    <n v="14823.02"/>
  </r>
  <r>
    <s v="ORD-1114"/>
    <x v="52"/>
    <s v="CUST-1215"/>
    <s v="Priya Reddy"/>
    <x v="2"/>
    <x v="14"/>
    <s v="Lucknow"/>
    <x v="0"/>
    <s v="Chairs"/>
    <x v="6"/>
    <n v="1"/>
    <n v="2844.82"/>
    <n v="0.05"/>
    <n v="536.74"/>
  </r>
  <r>
    <s v="ORD-1348"/>
    <x v="52"/>
    <s v="CUST-1013"/>
    <s v="Asha Verma"/>
    <x v="3"/>
    <x v="4"/>
    <s v="Mysuru"/>
    <x v="0"/>
    <s v="Chairs"/>
    <x v="6"/>
    <n v="4"/>
    <n v="10415.459999999999"/>
    <n v="0.1"/>
    <n v="944.59"/>
  </r>
  <r>
    <s v="ORD-1991"/>
    <x v="52"/>
    <s v="CUST-1036"/>
    <s v="Kavya Verma"/>
    <x v="2"/>
    <x v="6"/>
    <s v="Faridabad"/>
    <x v="1"/>
    <s v="Laptops"/>
    <x v="15"/>
    <n v="3"/>
    <n v="121763.08"/>
    <n v="0.05"/>
    <n v="20995.09"/>
  </r>
  <r>
    <s v="ORD-1529"/>
    <x v="52"/>
    <s v="CUST-1046"/>
    <s v="Divya Nair"/>
    <x v="1"/>
    <x v="8"/>
    <s v="Panaji"/>
    <x v="1"/>
    <s v="Phones"/>
    <x v="18"/>
    <n v="6"/>
    <n v="223111.92"/>
    <n v="0.15"/>
    <n v="8651.82"/>
  </r>
  <r>
    <s v="ORD-1775"/>
    <x v="53"/>
    <s v="CUST-1058"/>
    <s v="Meera Kumar"/>
    <x v="2"/>
    <x v="12"/>
    <s v="New Delhi"/>
    <x v="2"/>
    <s v="Stationery"/>
    <x v="21"/>
    <n v="1"/>
    <n v="289.89999999999998"/>
    <n v="0.05"/>
    <n v="40.47"/>
  </r>
  <r>
    <s v="ORD-1002"/>
    <x v="53"/>
    <s v="CUST-1170"/>
    <s v="Pooja Kumar"/>
    <x v="3"/>
    <x v="4"/>
    <s v="Mysuru"/>
    <x v="1"/>
    <s v="Phones"/>
    <x v="1"/>
    <n v="4"/>
    <n v="59689.26"/>
    <n v="0.1"/>
    <n v="2635.35"/>
  </r>
  <r>
    <s v="ORD-1831"/>
    <x v="53"/>
    <s v="CUST-1203"/>
    <s v="Varun Verma"/>
    <x v="1"/>
    <x v="1"/>
    <s v="Nagpur"/>
    <x v="0"/>
    <s v="Storage"/>
    <x v="3"/>
    <n v="4"/>
    <n v="23201.58"/>
    <n v="0.1"/>
    <n v="4789.67"/>
  </r>
  <r>
    <s v="ORD-1263"/>
    <x v="53"/>
    <s v="CUST-1125"/>
    <s v="Priya Sharma"/>
    <x v="1"/>
    <x v="8"/>
    <s v="Panaji"/>
    <x v="1"/>
    <s v="Laptops"/>
    <x v="9"/>
    <n v="2"/>
    <n v="94281.39"/>
    <n v="0.2"/>
    <n v="15336.48"/>
  </r>
  <r>
    <s v="ORD-1712"/>
    <x v="53"/>
    <s v="CUST-1180"/>
    <s v="Aarav Kumar"/>
    <x v="3"/>
    <x v="4"/>
    <s v="Mysuru"/>
    <x v="0"/>
    <s v="Chairs"/>
    <x v="19"/>
    <n v="6"/>
    <n v="76982.820000000007"/>
    <n v="0"/>
    <n v="11382.59"/>
  </r>
  <r>
    <s v="ORD-1910"/>
    <x v="54"/>
    <s v="CUST-1100"/>
    <s v="Meera Kumar"/>
    <x v="2"/>
    <x v="12"/>
    <s v="New Delhi"/>
    <x v="1"/>
    <s v="Phones"/>
    <x v="11"/>
    <n v="4"/>
    <n v="90698.69"/>
    <n v="0.15"/>
    <n v="5760.25"/>
  </r>
  <r>
    <s v="ORD-1982"/>
    <x v="54"/>
    <s v="CUST-1073"/>
    <s v="Rohan Das"/>
    <x v="1"/>
    <x v="1"/>
    <s v="Pune"/>
    <x v="1"/>
    <s v="Accessories"/>
    <x v="24"/>
    <n v="1"/>
    <n v="1395.82"/>
    <n v="0"/>
    <n v="217.37"/>
  </r>
  <r>
    <s v="ORD-1686"/>
    <x v="55"/>
    <s v="CUST-1017"/>
    <s v="Sanjay Patel"/>
    <x v="0"/>
    <x v="16"/>
    <s v="Patna"/>
    <x v="0"/>
    <s v="Chairs"/>
    <x v="19"/>
    <n v="2"/>
    <n v="20825.68"/>
    <n v="0.15"/>
    <n v="1722.84"/>
  </r>
  <r>
    <s v="ORD-1835"/>
    <x v="55"/>
    <s v="CUST-1224"/>
    <s v="Meera Sharma"/>
    <x v="3"/>
    <x v="5"/>
    <s v="Warangal"/>
    <x v="2"/>
    <s v="Paper"/>
    <x v="25"/>
    <n v="2"/>
    <n v="1158.2"/>
    <n v="0"/>
    <n v="99.53"/>
  </r>
  <r>
    <s v="ORD-1796"/>
    <x v="55"/>
    <s v="CUST-1232"/>
    <s v="Sanjay Gupta"/>
    <x v="1"/>
    <x v="3"/>
    <s v="Jaipur"/>
    <x v="1"/>
    <s v="Phones"/>
    <x v="18"/>
    <n v="5"/>
    <n v="224590.91"/>
    <n v="0"/>
    <n v="16969.29"/>
  </r>
  <r>
    <s v="ORD-1037"/>
    <x v="56"/>
    <s v="CUST-1084"/>
    <s v="Pooja Nair"/>
    <x v="2"/>
    <x v="6"/>
    <s v="Faridabad"/>
    <x v="0"/>
    <s v="Chairs"/>
    <x v="6"/>
    <n v="5"/>
    <n v="12934.59"/>
    <n v="0.1"/>
    <n v="1396.82"/>
  </r>
  <r>
    <s v="ORD-1799"/>
    <x v="56"/>
    <s v="CUST-1119"/>
    <s v="Arjun Rao"/>
    <x v="3"/>
    <x v="4"/>
    <s v="Mysuru"/>
    <x v="0"/>
    <s v="Chairs"/>
    <x v="19"/>
    <n v="3"/>
    <n v="36094.370000000003"/>
    <n v="0.05"/>
    <n v="4743.46"/>
  </r>
  <r>
    <s v="ORD-1307"/>
    <x v="56"/>
    <s v="CUST-1017"/>
    <s v="Aditya Nair"/>
    <x v="2"/>
    <x v="6"/>
    <s v="Gurugram"/>
    <x v="0"/>
    <s v="Chairs"/>
    <x v="6"/>
    <n v="7"/>
    <n v="19139.32"/>
    <n v="0.15"/>
    <n v="3249.25"/>
  </r>
  <r>
    <s v="ORD-1063"/>
    <x v="56"/>
    <s v="CUST-1185"/>
    <s v="Priya Gupta"/>
    <x v="2"/>
    <x v="14"/>
    <s v="Lucknow"/>
    <x v="2"/>
    <s v="Organizers"/>
    <x v="14"/>
    <n v="6"/>
    <n v="3594.67"/>
    <n v="0.2"/>
    <n v="539.64"/>
  </r>
  <r>
    <s v="ORD-1846"/>
    <x v="56"/>
    <s v="CUST-1007"/>
    <s v="Pooja Das"/>
    <x v="2"/>
    <x v="6"/>
    <s v="Gurugram"/>
    <x v="2"/>
    <s v="Organizers"/>
    <x v="14"/>
    <n v="2"/>
    <n v="1276.56"/>
    <n v="0.15"/>
    <n v="223.95"/>
  </r>
  <r>
    <s v="ORD-1849"/>
    <x v="56"/>
    <s v="CUST-1046"/>
    <s v="Rahul Das"/>
    <x v="0"/>
    <x v="16"/>
    <s v="Patna"/>
    <x v="1"/>
    <s v="Laptops"/>
    <x v="9"/>
    <n v="7"/>
    <n v="402918.36"/>
    <n v="0.05"/>
    <n v="88438.15"/>
  </r>
  <r>
    <s v="ORD-1497"/>
    <x v="56"/>
    <s v="CUST-1223"/>
    <s v="Asha Gupta"/>
    <x v="3"/>
    <x v="4"/>
    <s v="Bengaluru"/>
    <x v="1"/>
    <s v="Phones"/>
    <x v="11"/>
    <n v="5"/>
    <n v="129854.11"/>
    <n v="0"/>
    <n v="8245.82"/>
  </r>
  <r>
    <s v="ORD-1373"/>
    <x v="57"/>
    <s v="CUST-1232"/>
    <s v="Meera Sharma"/>
    <x v="0"/>
    <x v="15"/>
    <s v="Cuttack"/>
    <x v="1"/>
    <s v="Accessories"/>
    <x v="8"/>
    <n v="7"/>
    <n v="13999.08"/>
    <n v="0.15"/>
    <n v="1713.11"/>
  </r>
  <r>
    <s v="ORD-1236"/>
    <x v="57"/>
    <s v="CUST-1038"/>
    <s v="Rahul Singh"/>
    <x v="0"/>
    <x v="16"/>
    <s v="Patna"/>
    <x v="1"/>
    <s v="Phones"/>
    <x v="1"/>
    <n v="1"/>
    <n v="15677.54"/>
    <n v="0.1"/>
    <n v="1305.45"/>
  </r>
  <r>
    <s v="ORD-1119"/>
    <x v="58"/>
    <s v="CUST-1205"/>
    <s v="Sanjay Gupta"/>
    <x v="1"/>
    <x v="13"/>
    <s v="Surat"/>
    <x v="0"/>
    <s v="Storage"/>
    <x v="13"/>
    <n v="6"/>
    <n v="49149.73"/>
    <n v="0.05"/>
    <n v="6290.4"/>
  </r>
  <r>
    <s v="ORD-1100"/>
    <x v="59"/>
    <s v="CUST-1222"/>
    <s v="Sanjay Kumar"/>
    <x v="3"/>
    <x v="10"/>
    <s v="Vijayawada"/>
    <x v="1"/>
    <s v="Phones"/>
    <x v="18"/>
    <n v="1"/>
    <n v="35230.28"/>
    <n v="0.15"/>
    <n v="3728.92"/>
  </r>
  <r>
    <s v="ORD-1953"/>
    <x v="59"/>
    <s v="CUST-1228"/>
    <s v="Divya Gupta"/>
    <x v="1"/>
    <x v="3"/>
    <s v="Jaipur"/>
    <x v="0"/>
    <s v="Storage"/>
    <x v="20"/>
    <n v="4"/>
    <n v="19753.14"/>
    <n v="0"/>
    <n v="1852.25"/>
  </r>
  <r>
    <s v="ORD-1983"/>
    <x v="59"/>
    <s v="CUST-1069"/>
    <s v="Rohan Rao"/>
    <x v="2"/>
    <x v="6"/>
    <s v="Faridabad"/>
    <x v="1"/>
    <s v="Phones"/>
    <x v="11"/>
    <n v="1"/>
    <n v="26355.24"/>
    <n v="0.05"/>
    <n v="4386.84"/>
  </r>
  <r>
    <s v="ORD-1626"/>
    <x v="59"/>
    <s v="CUST-1034"/>
    <s v="Aarav Kumar"/>
    <x v="3"/>
    <x v="5"/>
    <s v="Warangal"/>
    <x v="1"/>
    <s v="Laptops"/>
    <x v="9"/>
    <n v="3"/>
    <n v="171627.09"/>
    <n v="0.05"/>
    <n v="12751.23"/>
  </r>
  <r>
    <s v="ORD-1877"/>
    <x v="60"/>
    <s v="CUST-1142"/>
    <s v="Isha Das"/>
    <x v="0"/>
    <x v="0"/>
    <s v="Kolkata"/>
    <x v="1"/>
    <s v="Accessories"/>
    <x v="8"/>
    <n v="1"/>
    <n v="2258.7199999999998"/>
    <n v="0.05"/>
    <n v="228.75"/>
  </r>
  <r>
    <s v="ORD-1533"/>
    <x v="60"/>
    <s v="CUST-1058"/>
    <s v="Divya Das"/>
    <x v="2"/>
    <x v="6"/>
    <s v="Faridabad"/>
    <x v="0"/>
    <s v="Chairs"/>
    <x v="19"/>
    <n v="5"/>
    <n v="51642.65"/>
    <n v="0.15"/>
    <n v="7296.66"/>
  </r>
  <r>
    <s v="ORD-1196"/>
    <x v="60"/>
    <s v="CUST-1153"/>
    <s v="Rahul Gupta"/>
    <x v="1"/>
    <x v="3"/>
    <s v="Udaipur"/>
    <x v="2"/>
    <s v="Paper"/>
    <x v="25"/>
    <n v="3"/>
    <n v="1332.71"/>
    <n v="0.2"/>
    <n v="206.75"/>
  </r>
  <r>
    <s v="ORD-1728"/>
    <x v="60"/>
    <s v="CUST-1042"/>
    <s v="Aarav Patel"/>
    <x v="3"/>
    <x v="4"/>
    <s v="Bengaluru"/>
    <x v="1"/>
    <s v="Accessories"/>
    <x v="8"/>
    <n v="2"/>
    <n v="4263.32"/>
    <n v="0.1"/>
    <n v="739.66"/>
  </r>
  <r>
    <s v="ORD-1939"/>
    <x v="61"/>
    <s v="CUST-1174"/>
    <s v="Kavya Gupta"/>
    <x v="0"/>
    <x v="16"/>
    <s v="Patna"/>
    <x v="2"/>
    <s v="Stationery"/>
    <x v="22"/>
    <n v="5"/>
    <n v="1334.39"/>
    <n v="0"/>
    <n v="113.88"/>
  </r>
  <r>
    <s v="ORD-1466"/>
    <x v="62"/>
    <s v="CUST-1154"/>
    <s v="Aditya Reddy"/>
    <x v="3"/>
    <x v="10"/>
    <s v="Visakhapatnam"/>
    <x v="0"/>
    <s v="Tables"/>
    <x v="5"/>
    <n v="7"/>
    <n v="58392.58"/>
    <n v="0.05"/>
    <n v="6918.75"/>
  </r>
  <r>
    <s v="ORD-1975"/>
    <x v="62"/>
    <s v="CUST-1228"/>
    <s v="Kiran Nair"/>
    <x v="2"/>
    <x v="12"/>
    <s v="New Delhi"/>
    <x v="2"/>
    <s v="Paper"/>
    <x v="7"/>
    <n v="4"/>
    <n v="1329.94"/>
    <n v="0.1"/>
    <n v="143.30000000000001"/>
  </r>
  <r>
    <s v="ORD-1470"/>
    <x v="63"/>
    <s v="CUST-1023"/>
    <s v="Arjun Nair"/>
    <x v="1"/>
    <x v="8"/>
    <s v="Panaji"/>
    <x v="2"/>
    <s v="Stationery"/>
    <x v="21"/>
    <n v="3"/>
    <n v="832.77"/>
    <n v="0.1"/>
    <n v="157.38"/>
  </r>
  <r>
    <s v="ORD-1566"/>
    <x v="63"/>
    <s v="CUST-1216"/>
    <s v="Kavya Rao"/>
    <x v="1"/>
    <x v="1"/>
    <s v="Pune"/>
    <x v="0"/>
    <s v="Chairs"/>
    <x v="0"/>
    <n v="7"/>
    <n v="46390.37"/>
    <n v="0"/>
    <n v="10586.08"/>
  </r>
  <r>
    <s v="ORD-1980"/>
    <x v="63"/>
    <s v="CUST-1094"/>
    <s v="Sanjay Gupta"/>
    <x v="1"/>
    <x v="1"/>
    <s v="Pune"/>
    <x v="1"/>
    <s v="Accessories"/>
    <x v="4"/>
    <n v="3"/>
    <n v="2333.71"/>
    <n v="0.1"/>
    <n v="267.55"/>
  </r>
  <r>
    <s v="ORD-1605"/>
    <x v="64"/>
    <s v="CUST-1148"/>
    <s v="Arjun Das"/>
    <x v="1"/>
    <x v="1"/>
    <s v="Pune"/>
    <x v="0"/>
    <s v="Tables"/>
    <x v="16"/>
    <n v="3"/>
    <n v="62607.81"/>
    <n v="0.05"/>
    <n v="3981.61"/>
  </r>
  <r>
    <s v="ORD-1729"/>
    <x v="64"/>
    <s v="CUST-1082"/>
    <s v="Asha Gupta"/>
    <x v="3"/>
    <x v="10"/>
    <s v="Vijayawada"/>
    <x v="2"/>
    <s v="Paper"/>
    <x v="7"/>
    <n v="2"/>
    <n v="606.01"/>
    <n v="0.1"/>
    <n v="120.42"/>
  </r>
  <r>
    <s v="ORD-1469"/>
    <x v="65"/>
    <s v="CUST-1224"/>
    <s v="Pooja Kumar"/>
    <x v="1"/>
    <x v="1"/>
    <s v="Pune"/>
    <x v="1"/>
    <s v="Laptops"/>
    <x v="9"/>
    <n v="4"/>
    <n v="214649.48"/>
    <n v="0.15"/>
    <n v="19028.34"/>
  </r>
  <r>
    <s v="ORD-1808"/>
    <x v="66"/>
    <s v="CUST-1230"/>
    <s v="Meera Verma"/>
    <x v="1"/>
    <x v="13"/>
    <s v="Surat"/>
    <x v="1"/>
    <s v="Accessories"/>
    <x v="4"/>
    <n v="5"/>
    <n v="3373.11"/>
    <n v="0.2"/>
    <n v="208.96"/>
  </r>
  <r>
    <s v="ORD-1955"/>
    <x v="66"/>
    <s v="CUST-1007"/>
    <s v="Priya Das"/>
    <x v="1"/>
    <x v="1"/>
    <s v="Mumbai"/>
    <x v="2"/>
    <s v="Organizers"/>
    <x v="14"/>
    <n v="5"/>
    <n v="3632.03"/>
    <n v="0.1"/>
    <n v="361.82"/>
  </r>
  <r>
    <s v="ORD-1673"/>
    <x v="67"/>
    <s v="CUST-1224"/>
    <s v="Sneha Verma"/>
    <x v="1"/>
    <x v="8"/>
    <s v="Panaji"/>
    <x v="2"/>
    <s v="Stationery"/>
    <x v="26"/>
    <n v="4"/>
    <n v="638.77"/>
    <n v="0.1"/>
    <n v="97.9"/>
  </r>
  <r>
    <s v="ORD-1101"/>
    <x v="67"/>
    <s v="CUST-1143"/>
    <s v="Sanjay Nair"/>
    <x v="1"/>
    <x v="3"/>
    <s v="Udaipur"/>
    <x v="2"/>
    <s v="Paper"/>
    <x v="25"/>
    <n v="5"/>
    <n v="2537.86"/>
    <n v="0"/>
    <n v="603.48"/>
  </r>
  <r>
    <s v="ORD-1540"/>
    <x v="67"/>
    <s v="CUST-1223"/>
    <s v="Nisha Sharma"/>
    <x v="3"/>
    <x v="4"/>
    <s v="Bengaluru"/>
    <x v="1"/>
    <s v="Phones"/>
    <x v="11"/>
    <n v="2"/>
    <n v="56527.97"/>
    <n v="0.05"/>
    <n v="8621.0499999999993"/>
  </r>
  <r>
    <s v="ORD-1243"/>
    <x v="68"/>
    <s v="CUST-1010"/>
    <s v="Ananya Gupta"/>
    <x v="3"/>
    <x v="11"/>
    <s v="Kochi"/>
    <x v="1"/>
    <s v="Accessories"/>
    <x v="4"/>
    <n v="1"/>
    <n v="955.97"/>
    <n v="0"/>
    <n v="143.93"/>
  </r>
  <r>
    <s v="ORD-1892"/>
    <x v="69"/>
    <s v="CUST-1073"/>
    <s v="Nisha Nair"/>
    <x v="0"/>
    <x v="0"/>
    <s v="Kolkata"/>
    <x v="2"/>
    <s v="Paper"/>
    <x v="25"/>
    <n v="4"/>
    <n v="2205.27"/>
    <n v="0.05"/>
    <n v="276.33999999999997"/>
  </r>
  <r>
    <s v="ORD-1579"/>
    <x v="69"/>
    <s v="CUST-1039"/>
    <s v="Isha Kumar"/>
    <x v="3"/>
    <x v="5"/>
    <s v="Hyderabad"/>
    <x v="2"/>
    <s v="Organizers"/>
    <x v="14"/>
    <n v="4"/>
    <n v="2505.7399999999998"/>
    <n v="0.1"/>
    <n v="128.6"/>
  </r>
  <r>
    <s v="ORD-1536"/>
    <x v="69"/>
    <s v="CUST-1210"/>
    <s v="Priya Das"/>
    <x v="3"/>
    <x v="10"/>
    <s v="Visakhapatnam"/>
    <x v="0"/>
    <s v="Storage"/>
    <x v="13"/>
    <n v="3"/>
    <n v="21797.040000000001"/>
    <n v="0.2"/>
    <n v="1084.96"/>
  </r>
  <r>
    <s v="ORD-1628"/>
    <x v="69"/>
    <s v="CUST-1179"/>
    <s v="Rahul Singh"/>
    <x v="0"/>
    <x v="16"/>
    <s v="Patna"/>
    <x v="2"/>
    <s v="Stationery"/>
    <x v="22"/>
    <n v="2"/>
    <n v="480.88"/>
    <n v="0"/>
    <n v="104.66"/>
  </r>
  <r>
    <s v="ORD-1279"/>
    <x v="70"/>
    <s v="CUST-1112"/>
    <s v="Varun Das"/>
    <x v="0"/>
    <x v="0"/>
    <s v="Kolkata"/>
    <x v="1"/>
    <s v="Laptops"/>
    <x v="9"/>
    <n v="4"/>
    <n v="209717.92"/>
    <n v="0.2"/>
    <n v="30662.98"/>
  </r>
  <r>
    <s v="ORD-1214"/>
    <x v="70"/>
    <s v="CUST-1173"/>
    <s v="Rahul Rao"/>
    <x v="2"/>
    <x v="6"/>
    <s v="Faridabad"/>
    <x v="0"/>
    <s v="Chairs"/>
    <x v="6"/>
    <n v="4"/>
    <n v="10163.57"/>
    <n v="0.1"/>
    <n v="834.97"/>
  </r>
  <r>
    <s v="ORD-1183"/>
    <x v="70"/>
    <s v="CUST-1030"/>
    <s v="Sneha Singh"/>
    <x v="3"/>
    <x v="5"/>
    <s v="Warangal"/>
    <x v="2"/>
    <s v="Organizers"/>
    <x v="14"/>
    <n v="1"/>
    <n v="637.09"/>
    <n v="0.1"/>
    <n v="105.23"/>
  </r>
  <r>
    <s v="ORD-1633"/>
    <x v="71"/>
    <s v="CUST-1089"/>
    <s v="Kiran Reddy"/>
    <x v="0"/>
    <x v="16"/>
    <s v="Patna"/>
    <x v="0"/>
    <s v="Tables"/>
    <x v="16"/>
    <n v="1"/>
    <n v="19746.349999999999"/>
    <n v="0.05"/>
    <n v="3349"/>
  </r>
  <r>
    <s v="ORD-1337"/>
    <x v="71"/>
    <s v="CUST-1249"/>
    <s v="Nisha Rao"/>
    <x v="0"/>
    <x v="15"/>
    <s v="Cuttack"/>
    <x v="1"/>
    <s v="Accessories"/>
    <x v="4"/>
    <n v="6"/>
    <n v="4589.49"/>
    <n v="0.2"/>
    <n v="767.43"/>
  </r>
  <r>
    <s v="ORD-1759"/>
    <x v="71"/>
    <s v="CUST-1208"/>
    <s v="Asha Rao"/>
    <x v="2"/>
    <x v="12"/>
    <s v="New Delhi"/>
    <x v="0"/>
    <s v="Storage"/>
    <x v="3"/>
    <n v="7"/>
    <n v="40939.24"/>
    <n v="0.1"/>
    <n v="8153.63"/>
  </r>
  <r>
    <s v="ORD-1588"/>
    <x v="72"/>
    <s v="CUST-1108"/>
    <s v="Manoj Das"/>
    <x v="0"/>
    <x v="15"/>
    <s v="Cuttack"/>
    <x v="0"/>
    <s v="Tables"/>
    <x v="12"/>
    <n v="3"/>
    <n v="14058.29"/>
    <n v="0.1"/>
    <n v="2580.1999999999998"/>
  </r>
  <r>
    <s v="ORD-1622"/>
    <x v="73"/>
    <s v="CUST-1090"/>
    <s v="Kavya Kumar"/>
    <x v="0"/>
    <x v="15"/>
    <s v="Bhubaneswar"/>
    <x v="1"/>
    <s v="Laptops"/>
    <x v="15"/>
    <n v="6"/>
    <n v="249329.11"/>
    <n v="0.1"/>
    <n v="36459.58"/>
  </r>
  <r>
    <s v="ORD-1318"/>
    <x v="73"/>
    <s v="CUST-1005"/>
    <s v="Nisha Reddy"/>
    <x v="3"/>
    <x v="11"/>
    <s v="Thiruvananthapuram"/>
    <x v="1"/>
    <s v="Phones"/>
    <x v="1"/>
    <n v="7"/>
    <n v="118076.7"/>
    <n v="0.05"/>
    <n v="24787.08"/>
  </r>
  <r>
    <s v="ORD-1537"/>
    <x v="73"/>
    <s v="CUST-1002"/>
    <s v="Rohan Das"/>
    <x v="0"/>
    <x v="15"/>
    <s v="Bhubaneswar"/>
    <x v="2"/>
    <s v="Organizers"/>
    <x v="14"/>
    <n v="4"/>
    <n v="3030.49"/>
    <n v="0.05"/>
    <n v="207.97"/>
  </r>
  <r>
    <s v="ORD-1446"/>
    <x v="73"/>
    <s v="CUST-1146"/>
    <s v="Manoj Verma"/>
    <x v="3"/>
    <x v="5"/>
    <s v="Warangal"/>
    <x v="1"/>
    <s v="Phones"/>
    <x v="11"/>
    <n v="6"/>
    <n v="158174.67000000001"/>
    <n v="0.05"/>
    <n v="27143.66"/>
  </r>
  <r>
    <s v="ORD-1597"/>
    <x v="74"/>
    <s v="CUST-1135"/>
    <s v="Aditya Gupta"/>
    <x v="3"/>
    <x v="4"/>
    <s v="Bengaluru"/>
    <x v="1"/>
    <s v="Accessories"/>
    <x v="4"/>
    <n v="4"/>
    <n v="3408.23"/>
    <n v="0.1"/>
    <n v="392.59"/>
  </r>
  <r>
    <s v="ORD-1771"/>
    <x v="74"/>
    <s v="CUST-1165"/>
    <s v="Meera Sharma"/>
    <x v="2"/>
    <x v="12"/>
    <s v="New Delhi"/>
    <x v="1"/>
    <s v="Accessories"/>
    <x v="4"/>
    <n v="2"/>
    <n v="1606.09"/>
    <n v="0.15"/>
    <n v="331.78"/>
  </r>
  <r>
    <s v="ORD-1086"/>
    <x v="75"/>
    <s v="CUST-1202"/>
    <s v="Nisha Das"/>
    <x v="2"/>
    <x v="2"/>
    <s v="Ludhiana"/>
    <x v="0"/>
    <s v="Tables"/>
    <x v="12"/>
    <n v="4"/>
    <n v="23670.41"/>
    <n v="0"/>
    <n v="4742.5200000000004"/>
  </r>
  <r>
    <s v="ORD-1943"/>
    <x v="75"/>
    <s v="CUST-1018"/>
    <s v="Asha Kumar"/>
    <x v="3"/>
    <x v="10"/>
    <s v="Visakhapatnam"/>
    <x v="0"/>
    <s v="Chairs"/>
    <x v="6"/>
    <n v="7"/>
    <n v="17610.43"/>
    <n v="0.15"/>
    <n v="581.91"/>
  </r>
  <r>
    <s v="ORD-1473"/>
    <x v="75"/>
    <s v="CUST-1074"/>
    <s v="Priya Rao"/>
    <x v="2"/>
    <x v="12"/>
    <s v="New Delhi"/>
    <x v="2"/>
    <s v="Stationery"/>
    <x v="22"/>
    <n v="1"/>
    <n v="207.28"/>
    <n v="0.2"/>
    <n v="38.57"/>
  </r>
  <r>
    <s v="ORD-1488"/>
    <x v="76"/>
    <s v="CUST-1182"/>
    <s v="Manoj Verma"/>
    <x v="1"/>
    <x v="3"/>
    <s v="Jaipur"/>
    <x v="2"/>
    <s v="Organizers"/>
    <x v="2"/>
    <n v="3"/>
    <n v="1270.72"/>
    <n v="0.15"/>
    <n v="52.71"/>
  </r>
  <r>
    <s v="ORD-1936"/>
    <x v="76"/>
    <s v="CUST-1044"/>
    <s v="Ananya Nair"/>
    <x v="1"/>
    <x v="3"/>
    <s v="Udaipur"/>
    <x v="1"/>
    <s v="Laptops"/>
    <x v="10"/>
    <n v="3"/>
    <n v="181720.98"/>
    <n v="0.2"/>
    <n v="34359.86"/>
  </r>
  <r>
    <s v="ORD-1957"/>
    <x v="76"/>
    <s v="CUST-1146"/>
    <s v="Aarav Nair"/>
    <x v="2"/>
    <x v="2"/>
    <s v="Amritsar"/>
    <x v="0"/>
    <s v="Chairs"/>
    <x v="0"/>
    <n v="3"/>
    <n v="17414.490000000002"/>
    <n v="0.1"/>
    <n v="3733.05"/>
  </r>
  <r>
    <s v="ORD-1551"/>
    <x v="76"/>
    <s v="CUST-1128"/>
    <s v="Divya Verma"/>
    <x v="3"/>
    <x v="10"/>
    <s v="Tirupati"/>
    <x v="0"/>
    <s v="Storage"/>
    <x v="20"/>
    <n v="7"/>
    <n v="28591.9"/>
    <n v="0.2"/>
    <n v="2812.09"/>
  </r>
  <r>
    <s v="ORD-1989"/>
    <x v="77"/>
    <s v="CUST-1031"/>
    <s v="Aarav Das"/>
    <x v="0"/>
    <x v="15"/>
    <s v="Cuttack"/>
    <x v="1"/>
    <s v="Phones"/>
    <x v="11"/>
    <n v="3"/>
    <n v="71520.570000000007"/>
    <n v="0.2"/>
    <n v="3070.16"/>
  </r>
  <r>
    <s v="ORD-1865"/>
    <x v="77"/>
    <s v="CUST-1156"/>
    <s v="Pooja Kumar"/>
    <x v="0"/>
    <x v="16"/>
    <s v="Patna"/>
    <x v="2"/>
    <s v="Organizers"/>
    <x v="2"/>
    <n v="4"/>
    <n v="1713.2"/>
    <n v="0.05"/>
    <n v="116.05"/>
  </r>
  <r>
    <s v="ORD-1494"/>
    <x v="77"/>
    <s v="CUST-1207"/>
    <s v="Pooja Singh"/>
    <x v="0"/>
    <x v="15"/>
    <s v="Bhubaneswar"/>
    <x v="0"/>
    <s v="Storage"/>
    <x v="3"/>
    <n v="4"/>
    <n v="22672.81"/>
    <n v="0.15"/>
    <n v="4053.07"/>
  </r>
  <r>
    <s v="ORD-1708"/>
    <x v="78"/>
    <s v="CUST-1167"/>
    <s v="Asha Gupta"/>
    <x v="0"/>
    <x v="15"/>
    <s v="Bhubaneswar"/>
    <x v="1"/>
    <s v="Phones"/>
    <x v="18"/>
    <n v="1"/>
    <n v="42001.33"/>
    <n v="0"/>
    <n v="8874.0300000000007"/>
  </r>
  <r>
    <s v="ORD-1071"/>
    <x v="79"/>
    <s v="CUST-1066"/>
    <s v="Isha Singh"/>
    <x v="2"/>
    <x v="6"/>
    <s v="Faridabad"/>
    <x v="2"/>
    <s v="Stationery"/>
    <x v="26"/>
    <n v="5"/>
    <n v="935.13"/>
    <n v="0"/>
    <n v="61.75"/>
  </r>
  <r>
    <s v="ORD-1756"/>
    <x v="79"/>
    <s v="CUST-1220"/>
    <s v="Vikram Das"/>
    <x v="3"/>
    <x v="10"/>
    <s v="Vijayawada"/>
    <x v="2"/>
    <s v="Organizers"/>
    <x v="23"/>
    <n v="4"/>
    <n v="2405.31"/>
    <n v="0.05"/>
    <n v="221.79"/>
  </r>
  <r>
    <s v="ORD-1321"/>
    <x v="79"/>
    <s v="CUST-1166"/>
    <s v="Nisha Gupta"/>
    <x v="0"/>
    <x v="16"/>
    <s v="Patna"/>
    <x v="1"/>
    <s v="Accessories"/>
    <x v="24"/>
    <n v="3"/>
    <n v="4197.76"/>
    <n v="0"/>
    <n v="487.76"/>
  </r>
  <r>
    <s v="ORD-1059"/>
    <x v="79"/>
    <s v="CUST-1218"/>
    <s v="Meera Nair"/>
    <x v="1"/>
    <x v="8"/>
    <s v="Panaji"/>
    <x v="0"/>
    <s v="Chairs"/>
    <x v="6"/>
    <n v="5"/>
    <n v="15153.52"/>
    <n v="0"/>
    <n v="3202.36"/>
  </r>
  <r>
    <s v="ORD-1838"/>
    <x v="79"/>
    <s v="CUST-1133"/>
    <s v="Kiran Verma"/>
    <x v="1"/>
    <x v="3"/>
    <s v="Jaipur"/>
    <x v="2"/>
    <s v="Stationery"/>
    <x v="21"/>
    <n v="6"/>
    <n v="1487.7"/>
    <n v="0.2"/>
    <n v="261.10000000000002"/>
  </r>
  <r>
    <s v="ORD-1836"/>
    <x v="80"/>
    <s v="CUST-1142"/>
    <s v="Sneha Nair"/>
    <x v="2"/>
    <x v="14"/>
    <s v="Noida"/>
    <x v="2"/>
    <s v="Organizers"/>
    <x v="23"/>
    <n v="1"/>
    <n v="522.22"/>
    <n v="0.15"/>
    <n v="71.53"/>
  </r>
  <r>
    <s v="ORD-1501"/>
    <x v="80"/>
    <s v="CUST-1201"/>
    <s v="Sanjay Reddy"/>
    <x v="1"/>
    <x v="13"/>
    <s v="Ahmedabad"/>
    <x v="1"/>
    <s v="Phones"/>
    <x v="11"/>
    <n v="5"/>
    <n v="137530.14000000001"/>
    <n v="0.05"/>
    <n v="16603.14"/>
  </r>
  <r>
    <s v="ORD-1814"/>
    <x v="80"/>
    <s v="CUST-1020"/>
    <s v="Kiran Sharma"/>
    <x v="3"/>
    <x v="4"/>
    <s v="Bengaluru"/>
    <x v="1"/>
    <s v="Accessories"/>
    <x v="8"/>
    <n v="7"/>
    <n v="18087.810000000001"/>
    <n v="0"/>
    <n v="2822.97"/>
  </r>
  <r>
    <s v="ORD-1962"/>
    <x v="80"/>
    <s v="CUST-1011"/>
    <s v="Sneha Rao"/>
    <x v="0"/>
    <x v="7"/>
    <s v="Ranchi"/>
    <x v="0"/>
    <s v="Chairs"/>
    <x v="0"/>
    <n v="5"/>
    <n v="34868.69"/>
    <n v="0"/>
    <n v="6283.33"/>
  </r>
  <r>
    <s v="ORD-1801"/>
    <x v="81"/>
    <s v="CUST-1235"/>
    <s v="Kavya Das"/>
    <x v="3"/>
    <x v="4"/>
    <s v="Bengaluru"/>
    <x v="1"/>
    <s v="Phones"/>
    <x v="11"/>
    <n v="4"/>
    <n v="105911.89"/>
    <n v="0.1"/>
    <n v="6668.61"/>
  </r>
  <r>
    <s v="ORD-1140"/>
    <x v="82"/>
    <s v="CUST-1213"/>
    <s v="Varun Sharma"/>
    <x v="2"/>
    <x v="2"/>
    <s v="Ludhiana"/>
    <x v="2"/>
    <s v="Stationery"/>
    <x v="21"/>
    <n v="3"/>
    <n v="799.77"/>
    <n v="0.15"/>
    <n v="66.73"/>
  </r>
  <r>
    <s v="ORD-1875"/>
    <x v="82"/>
    <s v="CUST-1137"/>
    <s v="Rahul Verma"/>
    <x v="1"/>
    <x v="1"/>
    <s v="Mumbai"/>
    <x v="1"/>
    <s v="Phones"/>
    <x v="1"/>
    <n v="6"/>
    <n v="101959.28"/>
    <n v="0.05"/>
    <n v="17467.689999999999"/>
  </r>
  <r>
    <s v="ORD-1809"/>
    <x v="82"/>
    <s v="CUST-1060"/>
    <s v="Vikram Gupta"/>
    <x v="3"/>
    <x v="11"/>
    <s v="Kochi"/>
    <x v="2"/>
    <s v="Organizers"/>
    <x v="23"/>
    <n v="3"/>
    <n v="1530.31"/>
    <n v="0.15"/>
    <n v="212.42"/>
  </r>
  <r>
    <s v="ORD-1422"/>
    <x v="83"/>
    <s v="CUST-1040"/>
    <s v="Pooja Sharma"/>
    <x v="3"/>
    <x v="9"/>
    <s v="Coimbatore"/>
    <x v="0"/>
    <s v="Storage"/>
    <x v="13"/>
    <n v="3"/>
    <n v="23197.46"/>
    <n v="0.1"/>
    <n v="4252.6499999999996"/>
  </r>
  <r>
    <s v="ORD-1077"/>
    <x v="83"/>
    <s v="CUST-1075"/>
    <s v="Sneha Reddy"/>
    <x v="2"/>
    <x v="6"/>
    <s v="Gurugram"/>
    <x v="2"/>
    <s v="Paper"/>
    <x v="7"/>
    <n v="5"/>
    <n v="1477.8"/>
    <n v="0.1"/>
    <n v="169.37"/>
  </r>
  <r>
    <s v="ORD-1670"/>
    <x v="83"/>
    <s v="CUST-1072"/>
    <s v="Sneha Das"/>
    <x v="0"/>
    <x v="15"/>
    <s v="Cuttack"/>
    <x v="0"/>
    <s v="Tables"/>
    <x v="12"/>
    <n v="1"/>
    <n v="5597.12"/>
    <n v="0.05"/>
    <n v="564.64"/>
  </r>
  <r>
    <s v="ORD-1122"/>
    <x v="83"/>
    <s v="CUST-1174"/>
    <s v="Divya Reddy"/>
    <x v="1"/>
    <x v="1"/>
    <s v="Mumbai"/>
    <x v="1"/>
    <s v="Phones"/>
    <x v="1"/>
    <n v="4"/>
    <n v="66453"/>
    <n v="0.05"/>
    <n v="15014.65"/>
  </r>
  <r>
    <s v="ORD-1145"/>
    <x v="83"/>
    <s v="CUST-1089"/>
    <s v="Aditya Das"/>
    <x v="3"/>
    <x v="9"/>
    <s v="Chennai"/>
    <x v="2"/>
    <s v="Organizers"/>
    <x v="2"/>
    <n v="4"/>
    <n v="1700.33"/>
    <n v="0.1"/>
    <n v="366.95"/>
  </r>
  <r>
    <s v="ORD-1064"/>
    <x v="83"/>
    <s v="CUST-1142"/>
    <s v="Sneha Singh"/>
    <x v="1"/>
    <x v="1"/>
    <s v="Mumbai"/>
    <x v="1"/>
    <s v="Laptops"/>
    <x v="10"/>
    <n v="4"/>
    <n v="269226.98"/>
    <n v="0.1"/>
    <n v="16334.17"/>
  </r>
  <r>
    <s v="ORD-1531"/>
    <x v="83"/>
    <s v="CUST-1029"/>
    <s v="Manoj Sharma"/>
    <x v="3"/>
    <x v="4"/>
    <s v="Mysuru"/>
    <x v="0"/>
    <s v="Tables"/>
    <x v="12"/>
    <n v="1"/>
    <n v="4778.97"/>
    <n v="0.1"/>
    <n v="1046.8800000000001"/>
  </r>
  <r>
    <s v="ORD-1727"/>
    <x v="83"/>
    <s v="CUST-1059"/>
    <s v="Manoj Gupta"/>
    <x v="1"/>
    <x v="8"/>
    <s v="Panaji"/>
    <x v="0"/>
    <s v="Tables"/>
    <x v="16"/>
    <n v="1"/>
    <n v="17466.02"/>
    <n v="0.15"/>
    <n v="2516.73"/>
  </r>
  <r>
    <s v="ORD-1491"/>
    <x v="83"/>
    <s v="CUST-1049"/>
    <s v="Sneha Das"/>
    <x v="3"/>
    <x v="10"/>
    <s v="Tirupati"/>
    <x v="0"/>
    <s v="Chairs"/>
    <x v="6"/>
    <n v="3"/>
    <n v="7744.51"/>
    <n v="0.15"/>
    <n v="1171.95"/>
  </r>
  <r>
    <s v="ORD-1405"/>
    <x v="83"/>
    <s v="CUST-1237"/>
    <s v="Sneha Rao"/>
    <x v="2"/>
    <x v="2"/>
    <s v="Ludhiana"/>
    <x v="2"/>
    <s v="Stationery"/>
    <x v="21"/>
    <n v="7"/>
    <n v="1958.94"/>
    <n v="0.1"/>
    <n v="426.65"/>
  </r>
  <r>
    <s v="ORD-1749"/>
    <x v="84"/>
    <s v="CUST-1155"/>
    <s v="Kavya Patel"/>
    <x v="1"/>
    <x v="1"/>
    <s v="Mumbai"/>
    <x v="2"/>
    <s v="Stationery"/>
    <x v="26"/>
    <n v="2"/>
    <n v="358.67"/>
    <n v="0.05"/>
    <n v="57.67"/>
  </r>
  <r>
    <s v="ORD-1295"/>
    <x v="84"/>
    <s v="CUST-1238"/>
    <s v="Kavya Kumar"/>
    <x v="0"/>
    <x v="15"/>
    <s v="Bhubaneswar"/>
    <x v="2"/>
    <s v="Organizers"/>
    <x v="14"/>
    <n v="5"/>
    <n v="3135.2"/>
    <n v="0.15"/>
    <n v="383.91"/>
  </r>
  <r>
    <s v="ORD-1354"/>
    <x v="84"/>
    <s v="CUST-1018"/>
    <s v="Rahul Rao"/>
    <x v="2"/>
    <x v="12"/>
    <s v="New Delhi"/>
    <x v="1"/>
    <s v="Phones"/>
    <x v="11"/>
    <n v="5"/>
    <n v="123322.9"/>
    <n v="0.05"/>
    <n v="11003.31"/>
  </r>
  <r>
    <s v="ORD-1787"/>
    <x v="85"/>
    <s v="CUST-1192"/>
    <s v="Kiran Nair"/>
    <x v="1"/>
    <x v="13"/>
    <s v="Ahmedabad"/>
    <x v="1"/>
    <s v="Accessories"/>
    <x v="8"/>
    <n v="4"/>
    <n v="8584.83"/>
    <n v="0.15"/>
    <n v="1294.1500000000001"/>
  </r>
  <r>
    <s v="ORD-1616"/>
    <x v="85"/>
    <s v="CUST-1139"/>
    <s v="Aarav Sharma"/>
    <x v="0"/>
    <x v="7"/>
    <s v="Ranchi"/>
    <x v="0"/>
    <s v="Chairs"/>
    <x v="0"/>
    <n v="1"/>
    <n v="5852.61"/>
    <n v="0.1"/>
    <n v="386.26"/>
  </r>
  <r>
    <s v="ORD-1998"/>
    <x v="85"/>
    <s v="CUST-1083"/>
    <s v="Asha Das"/>
    <x v="3"/>
    <x v="10"/>
    <s v="Visakhapatnam"/>
    <x v="1"/>
    <s v="Phones"/>
    <x v="18"/>
    <n v="5"/>
    <n v="200684.34"/>
    <n v="0"/>
    <n v="39081.599999999999"/>
  </r>
  <r>
    <s v="ORD-1573"/>
    <x v="85"/>
    <s v="CUST-1181"/>
    <s v="Sneha Kumar"/>
    <x v="1"/>
    <x v="13"/>
    <s v="Ahmedabad"/>
    <x v="1"/>
    <s v="Phones"/>
    <x v="1"/>
    <n v="6"/>
    <n v="106860.28"/>
    <n v="0.05"/>
    <n v="9305.17"/>
  </r>
  <r>
    <s v="ORD-1758"/>
    <x v="86"/>
    <s v="CUST-1185"/>
    <s v="Sanjay Nair"/>
    <x v="2"/>
    <x v="2"/>
    <s v="Amritsar"/>
    <x v="1"/>
    <s v="Phones"/>
    <x v="11"/>
    <n v="2"/>
    <n v="51087.01"/>
    <n v="0.1"/>
    <n v="5443.46"/>
  </r>
  <r>
    <s v="ORD-1859"/>
    <x v="86"/>
    <s v="CUST-1042"/>
    <s v="Sanjay Gupta"/>
    <x v="2"/>
    <x v="12"/>
    <s v="New Delhi"/>
    <x v="0"/>
    <s v="Tables"/>
    <x v="5"/>
    <n v="6"/>
    <n v="47431.1"/>
    <n v="0.15"/>
    <n v="9619.1299999999992"/>
  </r>
  <r>
    <s v="ORD-1261"/>
    <x v="86"/>
    <s v="CUST-1008"/>
    <s v="Meera Sharma"/>
    <x v="2"/>
    <x v="2"/>
    <s v="Ludhiana"/>
    <x v="2"/>
    <s v="Paper"/>
    <x v="25"/>
    <n v="6"/>
    <n v="2906.22"/>
    <n v="0.05"/>
    <n v="232.02"/>
  </r>
  <r>
    <s v="ORD-1894"/>
    <x v="87"/>
    <s v="CUST-1106"/>
    <s v="Arjun Reddy"/>
    <x v="3"/>
    <x v="10"/>
    <s v="Tirupati"/>
    <x v="1"/>
    <s v="Laptops"/>
    <x v="9"/>
    <n v="6"/>
    <n v="352302.15"/>
    <n v="0.1"/>
    <n v="20872.34"/>
  </r>
  <r>
    <s v="ORD-1031"/>
    <x v="87"/>
    <s v="CUST-1238"/>
    <s v="Asha Singh"/>
    <x v="2"/>
    <x v="6"/>
    <s v="Faridabad"/>
    <x v="0"/>
    <s v="Storage"/>
    <x v="3"/>
    <n v="6"/>
    <n v="39420.01"/>
    <n v="0"/>
    <n v="2691.62"/>
  </r>
  <r>
    <s v="ORD-1066"/>
    <x v="87"/>
    <s v="CUST-1095"/>
    <s v="Sanjay Singh"/>
    <x v="0"/>
    <x v="0"/>
    <s v="Kolkata"/>
    <x v="1"/>
    <s v="Phones"/>
    <x v="1"/>
    <n v="1"/>
    <n v="16126.33"/>
    <n v="0.1"/>
    <n v="1840.52"/>
  </r>
  <r>
    <s v="ORD-1264"/>
    <x v="87"/>
    <s v="CUST-1065"/>
    <s v="Aditya Das"/>
    <x v="0"/>
    <x v="0"/>
    <s v="Kolkata"/>
    <x v="2"/>
    <s v="Paper"/>
    <x v="17"/>
    <n v="5"/>
    <n v="1996.07"/>
    <n v="0.15"/>
    <n v="171.26"/>
  </r>
  <r>
    <s v="ORD-1766"/>
    <x v="88"/>
    <s v="CUST-1113"/>
    <s v="Rohan Sharma"/>
    <x v="2"/>
    <x v="6"/>
    <s v="Faridabad"/>
    <x v="2"/>
    <s v="Paper"/>
    <x v="17"/>
    <n v="6"/>
    <n v="2464.9299999999998"/>
    <n v="0.15"/>
    <n v="130.13999999999999"/>
  </r>
  <r>
    <s v="ORD-1857"/>
    <x v="88"/>
    <s v="CUST-1190"/>
    <s v="Rohan Singh"/>
    <x v="1"/>
    <x v="3"/>
    <s v="Jaipur"/>
    <x v="1"/>
    <s v="Laptops"/>
    <x v="9"/>
    <n v="2"/>
    <n v="99382.01"/>
    <n v="0.2"/>
    <n v="15116.57"/>
  </r>
  <r>
    <s v="ORD-1366"/>
    <x v="89"/>
    <s v="CUST-1201"/>
    <s v="Arjun Verma"/>
    <x v="0"/>
    <x v="15"/>
    <s v="Cuttack"/>
    <x v="2"/>
    <s v="Paper"/>
    <x v="7"/>
    <n v="7"/>
    <n v="2181.63"/>
    <n v="0.1"/>
    <n v="185.24"/>
  </r>
  <r>
    <s v="ORD-1704"/>
    <x v="89"/>
    <s v="CUST-1056"/>
    <s v="Vikram Sharma"/>
    <x v="0"/>
    <x v="16"/>
    <s v="Patna"/>
    <x v="2"/>
    <s v="Organizers"/>
    <x v="14"/>
    <n v="6"/>
    <n v="3836.33"/>
    <n v="0.1"/>
    <n v="341.08"/>
  </r>
  <r>
    <s v="ORD-1013"/>
    <x v="89"/>
    <s v="CUST-1216"/>
    <s v="Rohan Patel"/>
    <x v="3"/>
    <x v="9"/>
    <s v="Chennai"/>
    <x v="0"/>
    <s v="Chairs"/>
    <x v="6"/>
    <n v="2"/>
    <n v="6103.93"/>
    <n v="0.05"/>
    <n v="660.3"/>
  </r>
  <r>
    <s v="ORD-1743"/>
    <x v="89"/>
    <s v="CUST-1201"/>
    <s v="Kiran Patel"/>
    <x v="0"/>
    <x v="7"/>
    <s v="Ranchi"/>
    <x v="0"/>
    <s v="Storage"/>
    <x v="13"/>
    <n v="3"/>
    <n v="21295.03"/>
    <n v="0.1"/>
    <n v="860.8"/>
  </r>
  <r>
    <s v="ORD-1052"/>
    <x v="90"/>
    <s v="CUST-1082"/>
    <s v="Varun Kumar"/>
    <x v="2"/>
    <x v="12"/>
    <s v="New Delhi"/>
    <x v="0"/>
    <s v="Storage"/>
    <x v="20"/>
    <n v="7"/>
    <n v="32281.45"/>
    <n v="0"/>
    <n v="3974.03"/>
  </r>
  <r>
    <s v="ORD-1139"/>
    <x v="90"/>
    <s v="CUST-1125"/>
    <s v="Sneha Patel"/>
    <x v="2"/>
    <x v="6"/>
    <s v="Gurugram"/>
    <x v="2"/>
    <s v="Stationery"/>
    <x v="26"/>
    <n v="1"/>
    <n v="173.91"/>
    <n v="0"/>
    <n v="13.85"/>
  </r>
  <r>
    <s v="ORD-1008"/>
    <x v="91"/>
    <s v="CUST-1172"/>
    <s v="Kavya Rao"/>
    <x v="0"/>
    <x v="15"/>
    <s v="Bhubaneswar"/>
    <x v="2"/>
    <s v="Stationery"/>
    <x v="22"/>
    <n v="1"/>
    <n v="242.44"/>
    <n v="0"/>
    <n v="28.74"/>
  </r>
  <r>
    <s v="ORD-1954"/>
    <x v="91"/>
    <s v="CUST-1104"/>
    <s v="Asha Kumar"/>
    <x v="3"/>
    <x v="11"/>
    <s v="Kochi"/>
    <x v="2"/>
    <s v="Stationery"/>
    <x v="26"/>
    <n v="3"/>
    <n v="517.03"/>
    <n v="0"/>
    <n v="79.53"/>
  </r>
  <r>
    <s v="ORD-1524"/>
    <x v="91"/>
    <s v="CUST-1035"/>
    <s v="Vikram Sharma"/>
    <x v="0"/>
    <x v="16"/>
    <s v="Patna"/>
    <x v="1"/>
    <s v="Laptops"/>
    <x v="10"/>
    <n v="4"/>
    <n v="271408.21999999997"/>
    <n v="0.15"/>
    <n v="39767.160000000003"/>
  </r>
  <r>
    <s v="ORD-1984"/>
    <x v="91"/>
    <s v="CUST-1131"/>
    <s v="Meera Singh"/>
    <x v="2"/>
    <x v="2"/>
    <s v="Ludhiana"/>
    <x v="0"/>
    <s v="Tables"/>
    <x v="16"/>
    <n v="6"/>
    <n v="124112.99"/>
    <n v="0"/>
    <n v="25914.240000000002"/>
  </r>
  <r>
    <s v="ORD-1431"/>
    <x v="91"/>
    <s v="CUST-1082"/>
    <s v="Aditya Rao"/>
    <x v="1"/>
    <x v="1"/>
    <s v="Mumbai"/>
    <x v="0"/>
    <s v="Chairs"/>
    <x v="19"/>
    <n v="7"/>
    <n v="78335.039999999994"/>
    <n v="0.1"/>
    <n v="8307.67"/>
  </r>
  <r>
    <s v="ORD-1841"/>
    <x v="92"/>
    <s v="CUST-1214"/>
    <s v="Kiran Das"/>
    <x v="1"/>
    <x v="8"/>
    <s v="Panaji"/>
    <x v="1"/>
    <s v="Phones"/>
    <x v="18"/>
    <n v="1"/>
    <n v="38401.760000000002"/>
    <n v="0.05"/>
    <n v="3082.95"/>
  </r>
  <r>
    <s v="ORD-1581"/>
    <x v="92"/>
    <s v="CUST-1012"/>
    <s v="Kiran Reddy"/>
    <x v="2"/>
    <x v="2"/>
    <s v="Amritsar"/>
    <x v="0"/>
    <s v="Chairs"/>
    <x v="0"/>
    <n v="3"/>
    <n v="20702.95"/>
    <n v="0"/>
    <n v="1279.48"/>
  </r>
  <r>
    <s v="ORD-1362"/>
    <x v="92"/>
    <s v="CUST-1163"/>
    <s v="Pooja Gupta"/>
    <x v="0"/>
    <x v="15"/>
    <s v="Bhubaneswar"/>
    <x v="1"/>
    <s v="Accessories"/>
    <x v="8"/>
    <n v="3"/>
    <n v="5909.92"/>
    <n v="0.15"/>
    <n v="914.86"/>
  </r>
  <r>
    <s v="ORD-1805"/>
    <x v="92"/>
    <s v="CUST-1223"/>
    <s v="Sanjay Sharma"/>
    <x v="3"/>
    <x v="9"/>
    <s v="Chennai"/>
    <x v="1"/>
    <s v="Phones"/>
    <x v="1"/>
    <n v="4"/>
    <n v="68067.5"/>
    <n v="0"/>
    <n v="7915.08"/>
  </r>
  <r>
    <s v="ORD-1468"/>
    <x v="92"/>
    <s v="CUST-1078"/>
    <s v="Pooja Kumar"/>
    <x v="3"/>
    <x v="11"/>
    <s v="Kochi"/>
    <x v="0"/>
    <s v="Tables"/>
    <x v="16"/>
    <n v="6"/>
    <n v="123195.61"/>
    <n v="0.1"/>
    <n v="21997.119999999999"/>
  </r>
  <r>
    <s v="ORD-1001"/>
    <x v="92"/>
    <s v="CUST-1104"/>
    <s v="Rahul Rao"/>
    <x v="1"/>
    <x v="1"/>
    <s v="Nagpur"/>
    <x v="2"/>
    <s v="Stationery"/>
    <x v="26"/>
    <n v="7"/>
    <n v="1120.3900000000001"/>
    <n v="0.05"/>
    <n v="148.63999999999999"/>
  </r>
  <r>
    <s v="ORD-1920"/>
    <x v="92"/>
    <s v="CUST-1238"/>
    <s v="Kiran Sharma"/>
    <x v="2"/>
    <x v="12"/>
    <s v="New Delhi"/>
    <x v="2"/>
    <s v="Paper"/>
    <x v="17"/>
    <n v="7"/>
    <n v="2882.01"/>
    <n v="0.1"/>
    <n v="590.69000000000005"/>
  </r>
  <r>
    <s v="ORD-1879"/>
    <x v="93"/>
    <s v="CUST-1095"/>
    <s v="Vikram Nair"/>
    <x v="2"/>
    <x v="6"/>
    <s v="Faridabad"/>
    <x v="1"/>
    <s v="Accessories"/>
    <x v="8"/>
    <n v="5"/>
    <n v="11968.37"/>
    <n v="0.05"/>
    <n v="2643.1"/>
  </r>
  <r>
    <s v="ORD-1169"/>
    <x v="93"/>
    <s v="CUST-1008"/>
    <s v="Kiran Gupta"/>
    <x v="0"/>
    <x v="7"/>
    <s v="Ranchi"/>
    <x v="1"/>
    <s v="Phones"/>
    <x v="18"/>
    <n v="5"/>
    <n v="217977.77"/>
    <n v="0"/>
    <n v="33176.199999999997"/>
  </r>
  <r>
    <s v="ORD-1248"/>
    <x v="93"/>
    <s v="CUST-1161"/>
    <s v="Meera Sharma"/>
    <x v="3"/>
    <x v="11"/>
    <s v="Kochi"/>
    <x v="2"/>
    <s v="Stationery"/>
    <x v="21"/>
    <n v="2"/>
    <n v="614.83000000000004"/>
    <n v="0"/>
    <n v="133.78"/>
  </r>
  <r>
    <s v="ORD-1461"/>
    <x v="93"/>
    <s v="CUST-1045"/>
    <s v="Divya Sharma"/>
    <x v="2"/>
    <x v="12"/>
    <s v="New Delhi"/>
    <x v="0"/>
    <s v="Storage"/>
    <x v="3"/>
    <n v="2"/>
    <n v="11986.04"/>
    <n v="0.1"/>
    <n v="838.08"/>
  </r>
  <r>
    <s v="ORD-1968"/>
    <x v="94"/>
    <s v="CUST-1118"/>
    <s v="Kavya Rao"/>
    <x v="3"/>
    <x v="5"/>
    <s v="Warangal"/>
    <x v="0"/>
    <s v="Storage"/>
    <x v="20"/>
    <n v="6"/>
    <n v="25236.86"/>
    <n v="0.15"/>
    <n v="1085.76"/>
  </r>
  <r>
    <s v="ORD-1259"/>
    <x v="94"/>
    <s v="CUST-1216"/>
    <s v="Varun Nair"/>
    <x v="3"/>
    <x v="11"/>
    <s v="Thiruvananthapuram"/>
    <x v="0"/>
    <s v="Storage"/>
    <x v="20"/>
    <n v="4"/>
    <n v="18892.400000000001"/>
    <n v="0.1"/>
    <n v="3977.44"/>
  </r>
  <r>
    <s v="ORD-1544"/>
    <x v="94"/>
    <s v="CUST-1173"/>
    <s v="Isha Reddy"/>
    <x v="2"/>
    <x v="12"/>
    <s v="New Delhi"/>
    <x v="1"/>
    <s v="Accessories"/>
    <x v="8"/>
    <n v="6"/>
    <n v="12707.62"/>
    <n v="0.2"/>
    <n v="652.07000000000005"/>
  </r>
  <r>
    <s v="ORD-1093"/>
    <x v="94"/>
    <s v="CUST-1098"/>
    <s v="Meera Kumar"/>
    <x v="1"/>
    <x v="8"/>
    <s v="Panaji"/>
    <x v="0"/>
    <s v="Chairs"/>
    <x v="6"/>
    <n v="3"/>
    <n v="8016.49"/>
    <n v="0.15"/>
    <n v="1242.92"/>
  </r>
  <r>
    <s v="ORD-1141"/>
    <x v="94"/>
    <s v="CUST-1218"/>
    <s v="Aditya Kumar"/>
    <x v="1"/>
    <x v="8"/>
    <s v="Panaji"/>
    <x v="0"/>
    <s v="Storage"/>
    <x v="3"/>
    <n v="1"/>
    <n v="6346.05"/>
    <n v="0.1"/>
    <n v="761.5"/>
  </r>
  <r>
    <s v="ORD-1346"/>
    <x v="94"/>
    <s v="CUST-1165"/>
    <s v="Kiran Kumar"/>
    <x v="3"/>
    <x v="10"/>
    <s v="Vijayawada"/>
    <x v="1"/>
    <s v="Phones"/>
    <x v="1"/>
    <n v="5"/>
    <n v="81730.83"/>
    <n v="0.15"/>
    <n v="7834.67"/>
  </r>
  <r>
    <s v="ORD-1120"/>
    <x v="94"/>
    <s v="CUST-1169"/>
    <s v="Kavya Rao"/>
    <x v="1"/>
    <x v="13"/>
    <s v="Surat"/>
    <x v="0"/>
    <s v="Storage"/>
    <x v="20"/>
    <n v="6"/>
    <n v="29389.119999999999"/>
    <n v="0.05"/>
    <n v="6019.54"/>
  </r>
  <r>
    <s v="ORD-1219"/>
    <x v="95"/>
    <s v="CUST-1220"/>
    <s v="Arjun Gupta"/>
    <x v="1"/>
    <x v="8"/>
    <s v="Panaji"/>
    <x v="0"/>
    <s v="Chairs"/>
    <x v="0"/>
    <n v="5"/>
    <n v="28357.86"/>
    <n v="0.1"/>
    <n v="5339.28"/>
  </r>
  <r>
    <s v="ORD-1923"/>
    <x v="95"/>
    <s v="CUST-1233"/>
    <s v="Arjun Singh"/>
    <x v="1"/>
    <x v="1"/>
    <s v="Nagpur"/>
    <x v="1"/>
    <s v="Phones"/>
    <x v="1"/>
    <n v="1"/>
    <n v="16629"/>
    <n v="0.1"/>
    <n v="3593.5"/>
  </r>
  <r>
    <s v="ORD-1826"/>
    <x v="96"/>
    <s v="CUST-1215"/>
    <s v="Sneha Verma"/>
    <x v="3"/>
    <x v="4"/>
    <s v="Bengaluru"/>
    <x v="2"/>
    <s v="Organizers"/>
    <x v="14"/>
    <n v="7"/>
    <n v="5663.96"/>
    <n v="0"/>
    <n v="469.5"/>
  </r>
  <r>
    <s v="ORD-1254"/>
    <x v="96"/>
    <s v="CUST-1092"/>
    <s v="Meera Rao"/>
    <x v="3"/>
    <x v="11"/>
    <s v="Kochi"/>
    <x v="2"/>
    <s v="Paper"/>
    <x v="25"/>
    <n v="6"/>
    <n v="2784.77"/>
    <n v="0.15"/>
    <n v="217.51"/>
  </r>
  <r>
    <s v="ORD-1724"/>
    <x v="96"/>
    <s v="CUST-1196"/>
    <s v="Vikram Patel"/>
    <x v="2"/>
    <x v="6"/>
    <s v="Gurugram"/>
    <x v="0"/>
    <s v="Chairs"/>
    <x v="0"/>
    <n v="1"/>
    <n v="6014.89"/>
    <n v="0"/>
    <n v="967.63"/>
  </r>
  <r>
    <s v="ORD-1221"/>
    <x v="97"/>
    <s v="CUST-1202"/>
    <s v="Priya Kumar"/>
    <x v="3"/>
    <x v="4"/>
    <s v="Mysuru"/>
    <x v="2"/>
    <s v="Stationery"/>
    <x v="22"/>
    <n v="3"/>
    <n v="762.86"/>
    <n v="0.05"/>
    <n v="129.94999999999999"/>
  </r>
  <r>
    <s v="ORD-1534"/>
    <x v="97"/>
    <s v="CUST-1239"/>
    <s v="Rahul Das"/>
    <x v="0"/>
    <x v="15"/>
    <s v="Bhubaneswar"/>
    <x v="0"/>
    <s v="Chairs"/>
    <x v="0"/>
    <n v="1"/>
    <n v="5713.62"/>
    <n v="0.05"/>
    <n v="1266.76"/>
  </r>
  <r>
    <s v="ORD-1456"/>
    <x v="97"/>
    <s v="CUST-1001"/>
    <s v="Nisha Patel"/>
    <x v="3"/>
    <x v="5"/>
    <s v="Hyderabad"/>
    <x v="2"/>
    <s v="Organizers"/>
    <x v="14"/>
    <n v="3"/>
    <n v="1972.65"/>
    <n v="0.15"/>
    <n v="387.3"/>
  </r>
  <r>
    <s v="ORD-1823"/>
    <x v="98"/>
    <s v="CUST-1163"/>
    <s v="Rahul Verma"/>
    <x v="3"/>
    <x v="4"/>
    <s v="Bengaluru"/>
    <x v="1"/>
    <s v="Laptops"/>
    <x v="15"/>
    <n v="5"/>
    <n v="212117.79"/>
    <n v="0.05"/>
    <n v="11220.92"/>
  </r>
  <r>
    <s v="ORD-1542"/>
    <x v="98"/>
    <s v="CUST-1032"/>
    <s v="Isha Sharma"/>
    <x v="0"/>
    <x v="15"/>
    <s v="Cuttack"/>
    <x v="0"/>
    <s v="Chairs"/>
    <x v="6"/>
    <n v="6"/>
    <n v="16581.169999999998"/>
    <n v="0.05"/>
    <n v="3103.72"/>
  </r>
  <r>
    <s v="ORD-1914"/>
    <x v="99"/>
    <s v="CUST-1034"/>
    <s v="Manoj Das"/>
    <x v="0"/>
    <x v="15"/>
    <s v="Bhubaneswar"/>
    <x v="1"/>
    <s v="Accessories"/>
    <x v="24"/>
    <n v="5"/>
    <n v="5693.21"/>
    <n v="0.2"/>
    <n v="898.87"/>
  </r>
  <r>
    <s v="ORD-1288"/>
    <x v="100"/>
    <s v="CUST-1147"/>
    <s v="Asha Kumar"/>
    <x v="0"/>
    <x v="16"/>
    <s v="Patna"/>
    <x v="0"/>
    <s v="Storage"/>
    <x v="3"/>
    <n v="7"/>
    <n v="37928.61"/>
    <n v="0.2"/>
    <n v="1387.13"/>
  </r>
  <r>
    <s v="ORD-1097"/>
    <x v="100"/>
    <s v="CUST-1188"/>
    <s v="Kiran Reddy"/>
    <x v="2"/>
    <x v="6"/>
    <s v="Faridabad"/>
    <x v="1"/>
    <s v="Accessories"/>
    <x v="24"/>
    <n v="3"/>
    <n v="3541.65"/>
    <n v="0.15"/>
    <n v="486.37"/>
  </r>
  <r>
    <s v="ORD-1303"/>
    <x v="100"/>
    <s v="CUST-1018"/>
    <s v="Aarav Sharma"/>
    <x v="1"/>
    <x v="3"/>
    <s v="Udaipur"/>
    <x v="0"/>
    <s v="Storage"/>
    <x v="3"/>
    <n v="1"/>
    <n v="6665.88"/>
    <n v="0.1"/>
    <n v="904.83"/>
  </r>
  <r>
    <s v="ORD-1915"/>
    <x v="101"/>
    <s v="CUST-1121"/>
    <s v="Divya Patel"/>
    <x v="1"/>
    <x v="3"/>
    <s v="Udaipur"/>
    <x v="2"/>
    <s v="Stationery"/>
    <x v="21"/>
    <n v="4"/>
    <n v="1195.1400000000001"/>
    <n v="0.05"/>
    <n v="209.41"/>
  </r>
  <r>
    <s v="ORD-1299"/>
    <x v="101"/>
    <s v="CUST-1047"/>
    <s v="Asha Kumar"/>
    <x v="2"/>
    <x v="12"/>
    <s v="New Delhi"/>
    <x v="2"/>
    <s v="Stationery"/>
    <x v="26"/>
    <n v="5"/>
    <n v="819.17"/>
    <n v="0.15"/>
    <n v="134.69"/>
  </r>
  <r>
    <s v="ORD-1669"/>
    <x v="101"/>
    <s v="CUST-1061"/>
    <s v="Kavya Rao"/>
    <x v="3"/>
    <x v="9"/>
    <s v="Chennai"/>
    <x v="1"/>
    <s v="Phones"/>
    <x v="18"/>
    <n v="1"/>
    <n v="43350.8"/>
    <n v="0"/>
    <n v="3484.91"/>
  </r>
  <r>
    <s v="ORD-1427"/>
    <x v="101"/>
    <s v="CUST-1137"/>
    <s v="Ananya Sharma"/>
    <x v="2"/>
    <x v="2"/>
    <s v="Ludhiana"/>
    <x v="2"/>
    <s v="Paper"/>
    <x v="7"/>
    <n v="1"/>
    <n v="309.33"/>
    <n v="0.1"/>
    <n v="60.45"/>
  </r>
  <r>
    <s v="ORD-1977"/>
    <x v="101"/>
    <s v="CUST-1167"/>
    <s v="Isha Verma"/>
    <x v="3"/>
    <x v="9"/>
    <s v="Chennai"/>
    <x v="0"/>
    <s v="Tables"/>
    <x v="12"/>
    <n v="7"/>
    <n v="31928.03"/>
    <n v="0.2"/>
    <n v="6112.57"/>
  </r>
  <r>
    <s v="ORD-1575"/>
    <x v="101"/>
    <s v="CUST-1191"/>
    <s v="Asha Reddy"/>
    <x v="1"/>
    <x v="8"/>
    <s v="Panaji"/>
    <x v="2"/>
    <s v="Paper"/>
    <x v="7"/>
    <n v="6"/>
    <n v="1861.55"/>
    <n v="0.05"/>
    <n v="158.75"/>
  </r>
  <r>
    <s v="ORD-1721"/>
    <x v="102"/>
    <s v="CUST-1200"/>
    <s v="Aditya Reddy"/>
    <x v="3"/>
    <x v="10"/>
    <s v="Tirupati"/>
    <x v="0"/>
    <s v="Tables"/>
    <x v="5"/>
    <n v="5"/>
    <n v="47072.76"/>
    <n v="0.05"/>
    <n v="7110.06"/>
  </r>
  <r>
    <s v="ORD-1479"/>
    <x v="102"/>
    <s v="CUST-1088"/>
    <s v="Kavya Singh"/>
    <x v="0"/>
    <x v="15"/>
    <s v="Cuttack"/>
    <x v="1"/>
    <s v="Phones"/>
    <x v="11"/>
    <n v="4"/>
    <n v="107721.29"/>
    <n v="0.05"/>
    <n v="16455.86"/>
  </r>
  <r>
    <s v="ORD-1660"/>
    <x v="102"/>
    <s v="CUST-1196"/>
    <s v="Aarav Gupta"/>
    <x v="3"/>
    <x v="4"/>
    <s v="Bengaluru"/>
    <x v="1"/>
    <s v="Accessories"/>
    <x v="4"/>
    <n v="5"/>
    <n v="4045.69"/>
    <n v="0.1"/>
    <n v="191.01"/>
  </r>
  <r>
    <s v="ORD-1208"/>
    <x v="102"/>
    <s v="CUST-1179"/>
    <s v="Rahul Verma"/>
    <x v="0"/>
    <x v="15"/>
    <s v="Bhubaneswar"/>
    <x v="0"/>
    <s v="Chairs"/>
    <x v="19"/>
    <n v="2"/>
    <n v="18055.54"/>
    <n v="0.2"/>
    <n v="2661.1"/>
  </r>
  <r>
    <s v="ORD-1392"/>
    <x v="103"/>
    <s v="CUST-1129"/>
    <s v="Sanjay Reddy"/>
    <x v="0"/>
    <x v="7"/>
    <s v="Ranchi"/>
    <x v="0"/>
    <s v="Tables"/>
    <x v="5"/>
    <n v="3"/>
    <n v="24084.74"/>
    <n v="0.15"/>
    <n v="2109.94"/>
  </r>
  <r>
    <s v="ORD-1058"/>
    <x v="103"/>
    <s v="CUST-1151"/>
    <s v="Nisha Reddy"/>
    <x v="3"/>
    <x v="5"/>
    <s v="Warangal"/>
    <x v="1"/>
    <s v="Laptops"/>
    <x v="15"/>
    <n v="2"/>
    <n v="86435.09"/>
    <n v="0"/>
    <n v="16284.62"/>
  </r>
  <r>
    <s v="ORD-1171"/>
    <x v="103"/>
    <s v="CUST-1224"/>
    <s v="Pooja Sharma"/>
    <x v="2"/>
    <x v="14"/>
    <s v="Lucknow"/>
    <x v="1"/>
    <s v="Phones"/>
    <x v="1"/>
    <n v="6"/>
    <n v="85465.25"/>
    <n v="0.15"/>
    <n v="9091.23"/>
  </r>
  <r>
    <s v="ORD-1253"/>
    <x v="103"/>
    <s v="CUST-1102"/>
    <s v="Sanjay Rao"/>
    <x v="3"/>
    <x v="11"/>
    <s v="Thiruvananthapuram"/>
    <x v="1"/>
    <s v="Phones"/>
    <x v="11"/>
    <n v="2"/>
    <n v="52634.34"/>
    <n v="0"/>
    <n v="7076.99"/>
  </r>
  <r>
    <s v="ORD-1874"/>
    <x v="103"/>
    <s v="CUST-1047"/>
    <s v="Pooja Sharma"/>
    <x v="0"/>
    <x v="16"/>
    <s v="Patna"/>
    <x v="1"/>
    <s v="Phones"/>
    <x v="11"/>
    <n v="3"/>
    <n v="81818.83"/>
    <n v="0"/>
    <n v="16833.52"/>
  </r>
  <r>
    <s v="ORD-1744"/>
    <x v="103"/>
    <s v="CUST-1168"/>
    <s v="Aarav Patel"/>
    <x v="3"/>
    <x v="4"/>
    <s v="Bengaluru"/>
    <x v="1"/>
    <s v="Accessories"/>
    <x v="8"/>
    <n v="1"/>
    <n v="2509.27"/>
    <n v="0.05"/>
    <n v="515.48"/>
  </r>
  <r>
    <s v="ORD-1997"/>
    <x v="104"/>
    <s v="CUST-1205"/>
    <s v="Rohan Das"/>
    <x v="3"/>
    <x v="5"/>
    <s v="Warangal"/>
    <x v="0"/>
    <s v="Tables"/>
    <x v="5"/>
    <n v="2"/>
    <n v="17729.95"/>
    <n v="0.1"/>
    <n v="2344.71"/>
  </r>
  <r>
    <s v="ORD-1646"/>
    <x v="104"/>
    <s v="CUST-1194"/>
    <s v="Sneha Rao"/>
    <x v="2"/>
    <x v="14"/>
    <s v="Lucknow"/>
    <x v="0"/>
    <s v="Chairs"/>
    <x v="6"/>
    <n v="5"/>
    <n v="13859.22"/>
    <n v="0.05"/>
    <n v="1403.72"/>
  </r>
  <r>
    <s v="ORD-1854"/>
    <x v="104"/>
    <s v="CUST-1065"/>
    <s v="Pooja Gupta"/>
    <x v="0"/>
    <x v="0"/>
    <s v="Kolkata"/>
    <x v="2"/>
    <s v="Stationery"/>
    <x v="26"/>
    <n v="5"/>
    <n v="882.96"/>
    <n v="0.05"/>
    <n v="171.73"/>
  </r>
  <r>
    <s v="ORD-1018"/>
    <x v="104"/>
    <s v="CUST-1249"/>
    <s v="Asha Sharma"/>
    <x v="3"/>
    <x v="4"/>
    <s v="Bengaluru"/>
    <x v="1"/>
    <s v="Accessories"/>
    <x v="8"/>
    <n v="6"/>
    <n v="12913.67"/>
    <n v="0.1"/>
    <n v="923.22"/>
  </r>
  <r>
    <s v="ORD-1326"/>
    <x v="104"/>
    <s v="CUST-1161"/>
    <s v="Aditya Gupta"/>
    <x v="1"/>
    <x v="3"/>
    <s v="Udaipur"/>
    <x v="1"/>
    <s v="Laptops"/>
    <x v="10"/>
    <n v="1"/>
    <n v="62796.480000000003"/>
    <n v="0.15"/>
    <n v="2100.3000000000002"/>
  </r>
  <r>
    <s v="ORD-1679"/>
    <x v="105"/>
    <s v="CUST-1046"/>
    <s v="Divya Sharma"/>
    <x v="0"/>
    <x v="0"/>
    <s v="Kolkata"/>
    <x v="1"/>
    <s v="Phones"/>
    <x v="11"/>
    <n v="6"/>
    <n v="168753.9"/>
    <n v="0.05"/>
    <n v="25034.69"/>
  </r>
  <r>
    <s v="ORD-1594"/>
    <x v="105"/>
    <s v="CUST-1221"/>
    <s v="Kiran Singh"/>
    <x v="1"/>
    <x v="3"/>
    <s v="Jaipur"/>
    <x v="1"/>
    <s v="Accessories"/>
    <x v="24"/>
    <n v="4"/>
    <n v="5241.42"/>
    <n v="0.1"/>
    <n v="532.49"/>
  </r>
  <r>
    <s v="ORD-1917"/>
    <x v="106"/>
    <s v="CUST-1206"/>
    <s v="Ananya Nair"/>
    <x v="0"/>
    <x v="7"/>
    <s v="Ranchi"/>
    <x v="0"/>
    <s v="Storage"/>
    <x v="20"/>
    <n v="4"/>
    <n v="20883.75"/>
    <n v="0"/>
    <n v="4904.91"/>
  </r>
  <r>
    <s v="ORD-1748"/>
    <x v="107"/>
    <s v="CUST-1181"/>
    <s v="Rahul Verma"/>
    <x v="1"/>
    <x v="1"/>
    <s v="Mumbai"/>
    <x v="1"/>
    <s v="Laptops"/>
    <x v="9"/>
    <n v="5"/>
    <n v="313117.11"/>
    <n v="0.05"/>
    <n v="71039.210000000006"/>
  </r>
  <r>
    <s v="ORD-1457"/>
    <x v="107"/>
    <s v="CUST-1191"/>
    <s v="Varun Verma"/>
    <x v="2"/>
    <x v="6"/>
    <s v="Faridabad"/>
    <x v="1"/>
    <s v="Laptops"/>
    <x v="9"/>
    <n v="4"/>
    <n v="213980.53"/>
    <n v="0.1"/>
    <n v="24967.15"/>
  </r>
  <r>
    <s v="ORD-1643"/>
    <x v="107"/>
    <s v="CUST-1159"/>
    <s v="Isha Das"/>
    <x v="3"/>
    <x v="9"/>
    <s v="Chennai"/>
    <x v="1"/>
    <s v="Phones"/>
    <x v="11"/>
    <n v="1"/>
    <n v="26188.81"/>
    <n v="0.1"/>
    <n v="3472.67"/>
  </r>
  <r>
    <s v="ORD-1343"/>
    <x v="108"/>
    <s v="CUST-1143"/>
    <s v="Rohan Patel"/>
    <x v="0"/>
    <x v="15"/>
    <s v="Bhubaneswar"/>
    <x v="2"/>
    <s v="Paper"/>
    <x v="7"/>
    <n v="3"/>
    <n v="1000.35"/>
    <n v="0"/>
    <n v="121.32"/>
  </r>
  <r>
    <s v="ORD-1459"/>
    <x v="109"/>
    <s v="CUST-1166"/>
    <s v="Rohan Gupta"/>
    <x v="0"/>
    <x v="16"/>
    <s v="Patna"/>
    <x v="1"/>
    <s v="Laptops"/>
    <x v="10"/>
    <n v="2"/>
    <n v="137665.73000000001"/>
    <n v="0.05"/>
    <n v="21994.34"/>
  </r>
  <r>
    <s v="ORD-1029"/>
    <x v="109"/>
    <s v="CUST-1062"/>
    <s v="Rohan Singh"/>
    <x v="3"/>
    <x v="5"/>
    <s v="Warangal"/>
    <x v="2"/>
    <s v="Organizers"/>
    <x v="23"/>
    <n v="7"/>
    <n v="4491.28"/>
    <n v="0.05"/>
    <n v="427.37"/>
  </r>
  <r>
    <s v="ORD-1222"/>
    <x v="109"/>
    <s v="CUST-1002"/>
    <s v="Sneha Kumar"/>
    <x v="2"/>
    <x v="2"/>
    <s v="Ludhiana"/>
    <x v="0"/>
    <s v="Tables"/>
    <x v="12"/>
    <n v="1"/>
    <n v="5211.2299999999996"/>
    <n v="0"/>
    <n v="911.02"/>
  </r>
  <r>
    <s v="ORD-1079"/>
    <x v="110"/>
    <s v="CUST-1086"/>
    <s v="Kavya Sharma"/>
    <x v="2"/>
    <x v="6"/>
    <s v="Faridabad"/>
    <x v="1"/>
    <s v="Laptops"/>
    <x v="15"/>
    <n v="1"/>
    <n v="48319.71"/>
    <n v="0"/>
    <n v="4192.18"/>
  </r>
  <r>
    <s v="ORD-1510"/>
    <x v="111"/>
    <s v="CUST-1162"/>
    <s v="Sneha Reddy"/>
    <x v="1"/>
    <x v="13"/>
    <s v="Ahmedabad"/>
    <x v="0"/>
    <s v="Tables"/>
    <x v="12"/>
    <n v="4"/>
    <n v="19237.060000000001"/>
    <n v="0.05"/>
    <n v="3904.94"/>
  </r>
  <r>
    <s v="ORD-1209"/>
    <x v="112"/>
    <s v="CUST-1166"/>
    <s v="Ananya Gupta"/>
    <x v="2"/>
    <x v="14"/>
    <s v="Noida"/>
    <x v="2"/>
    <s v="Paper"/>
    <x v="17"/>
    <n v="1"/>
    <n v="450.03"/>
    <n v="0.05"/>
    <n v="45.31"/>
  </r>
  <r>
    <s v="ORD-1773"/>
    <x v="113"/>
    <s v="CUST-1093"/>
    <s v="Arjun Patel"/>
    <x v="3"/>
    <x v="10"/>
    <s v="Visakhapatnam"/>
    <x v="2"/>
    <s v="Organizers"/>
    <x v="2"/>
    <n v="3"/>
    <n v="1234.4100000000001"/>
    <n v="0.1"/>
    <n v="149.78"/>
  </r>
  <r>
    <s v="ORD-1154"/>
    <x v="113"/>
    <s v="CUST-1055"/>
    <s v="Pooja Sharma"/>
    <x v="2"/>
    <x v="2"/>
    <s v="Ludhiana"/>
    <x v="2"/>
    <s v="Stationery"/>
    <x v="21"/>
    <n v="7"/>
    <n v="2252.84"/>
    <n v="0"/>
    <n v="174.37"/>
  </r>
  <r>
    <s v="ORD-1710"/>
    <x v="113"/>
    <s v="CUST-1225"/>
    <s v="Kiran Patel"/>
    <x v="0"/>
    <x v="16"/>
    <s v="Patna"/>
    <x v="1"/>
    <s v="Laptops"/>
    <x v="9"/>
    <n v="4"/>
    <n v="211835.29"/>
    <n v="0.15"/>
    <n v="16087.16"/>
  </r>
  <r>
    <s v="ORD-1580"/>
    <x v="113"/>
    <s v="CUST-1115"/>
    <s v="Rahul Singh"/>
    <x v="2"/>
    <x v="12"/>
    <s v="New Delhi"/>
    <x v="1"/>
    <s v="Laptops"/>
    <x v="10"/>
    <n v="5"/>
    <n v="308251.21999999997"/>
    <n v="0.15"/>
    <n v="34219.449999999997"/>
  </r>
  <r>
    <s v="ORD-1012"/>
    <x v="113"/>
    <s v="CUST-1116"/>
    <s v="Kiran Nair"/>
    <x v="0"/>
    <x v="16"/>
    <s v="Patna"/>
    <x v="1"/>
    <s v="Accessories"/>
    <x v="4"/>
    <n v="7"/>
    <n v="4856.25"/>
    <n v="0.2"/>
    <n v="663.29"/>
  </r>
  <r>
    <s v="ORD-1574"/>
    <x v="113"/>
    <s v="CUST-1142"/>
    <s v="Vikram Verma"/>
    <x v="1"/>
    <x v="8"/>
    <s v="Panaji"/>
    <x v="1"/>
    <s v="Phones"/>
    <x v="1"/>
    <n v="6"/>
    <n v="87553.279999999999"/>
    <n v="0.2"/>
    <n v="9041.61"/>
  </r>
  <r>
    <s v="ORD-1246"/>
    <x v="113"/>
    <s v="CUST-1065"/>
    <s v="Aditya Kumar"/>
    <x v="2"/>
    <x v="6"/>
    <s v="Faridabad"/>
    <x v="2"/>
    <s v="Stationery"/>
    <x v="22"/>
    <n v="5"/>
    <n v="933.23"/>
    <n v="0.2"/>
    <n v="175.04"/>
  </r>
  <r>
    <s v="ORD-1899"/>
    <x v="114"/>
    <s v="CUST-1167"/>
    <s v="Kavya Sharma"/>
    <x v="2"/>
    <x v="12"/>
    <s v="New Delhi"/>
    <x v="1"/>
    <s v="Accessories"/>
    <x v="4"/>
    <n v="1"/>
    <n v="803.41"/>
    <n v="0.15"/>
    <n v="95.47"/>
  </r>
  <r>
    <s v="ORD-1976"/>
    <x v="114"/>
    <s v="CUST-1230"/>
    <s v="Sneha Reddy"/>
    <x v="2"/>
    <x v="12"/>
    <s v="New Delhi"/>
    <x v="2"/>
    <s v="Paper"/>
    <x v="17"/>
    <n v="7"/>
    <n v="2822.11"/>
    <n v="0.05"/>
    <n v="559.04999999999995"/>
  </r>
  <r>
    <s v="ORD-1224"/>
    <x v="114"/>
    <s v="CUST-1030"/>
    <s v="Meera Reddy"/>
    <x v="2"/>
    <x v="12"/>
    <s v="New Delhi"/>
    <x v="1"/>
    <s v="Phones"/>
    <x v="11"/>
    <n v="3"/>
    <n v="82008.44"/>
    <n v="0.05"/>
    <n v="8165.47"/>
  </r>
  <r>
    <s v="ORD-1228"/>
    <x v="114"/>
    <s v="CUST-1125"/>
    <s v="Arjun Verma"/>
    <x v="3"/>
    <x v="9"/>
    <s v="Coimbatore"/>
    <x v="0"/>
    <s v="Storage"/>
    <x v="13"/>
    <n v="6"/>
    <n v="43062.32"/>
    <n v="0.15"/>
    <n v="3533.87"/>
  </r>
  <r>
    <s v="ORD-1287"/>
    <x v="115"/>
    <s v="CUST-1024"/>
    <s v="Isha Rao"/>
    <x v="2"/>
    <x v="12"/>
    <s v="New Delhi"/>
    <x v="1"/>
    <s v="Accessories"/>
    <x v="8"/>
    <n v="3"/>
    <n v="7479.65"/>
    <n v="0"/>
    <n v="810.32"/>
  </r>
  <r>
    <s v="ORD-1867"/>
    <x v="115"/>
    <s v="CUST-1157"/>
    <s v="Varun Kumar"/>
    <x v="1"/>
    <x v="1"/>
    <s v="Pune"/>
    <x v="1"/>
    <s v="Laptops"/>
    <x v="15"/>
    <n v="3"/>
    <n v="137884.35999999999"/>
    <n v="0"/>
    <n v="14441.52"/>
  </r>
  <r>
    <s v="ORD-1231"/>
    <x v="116"/>
    <s v="CUST-1227"/>
    <s v="Kiran Reddy"/>
    <x v="3"/>
    <x v="11"/>
    <s v="Thiruvananthapuram"/>
    <x v="0"/>
    <s v="Chairs"/>
    <x v="6"/>
    <n v="7"/>
    <n v="17887.689999999999"/>
    <n v="0.1"/>
    <n v="2592.59"/>
  </r>
  <r>
    <s v="ORD-1753"/>
    <x v="116"/>
    <s v="CUST-1200"/>
    <s v="Vikram Rao"/>
    <x v="3"/>
    <x v="9"/>
    <s v="Coimbatore"/>
    <x v="2"/>
    <s v="Stationery"/>
    <x v="26"/>
    <n v="4"/>
    <n v="618.29999999999995"/>
    <n v="0.1"/>
    <n v="25.92"/>
  </r>
  <r>
    <s v="ORD-1911"/>
    <x v="117"/>
    <s v="CUST-1072"/>
    <s v="Sneha Patel"/>
    <x v="0"/>
    <x v="7"/>
    <s v="Ranchi"/>
    <x v="2"/>
    <s v="Paper"/>
    <x v="17"/>
    <n v="2"/>
    <n v="811.3"/>
    <n v="0.1"/>
    <n v="123.28"/>
  </r>
  <r>
    <s v="ORD-1226"/>
    <x v="117"/>
    <s v="CUST-1139"/>
    <s v="Sanjay Sharma"/>
    <x v="1"/>
    <x v="13"/>
    <s v="Surat"/>
    <x v="1"/>
    <s v="Accessories"/>
    <x v="4"/>
    <n v="1"/>
    <n v="807.73"/>
    <n v="0.05"/>
    <n v="44.09"/>
  </r>
  <r>
    <s v="ORD-1278"/>
    <x v="117"/>
    <s v="CUST-1057"/>
    <s v="Sanjay Reddy"/>
    <x v="0"/>
    <x v="7"/>
    <s v="Ranchi"/>
    <x v="1"/>
    <s v="Accessories"/>
    <x v="8"/>
    <n v="3"/>
    <n v="5989.47"/>
    <n v="0.15"/>
    <n v="314.58"/>
  </r>
  <r>
    <s v="ORD-1239"/>
    <x v="118"/>
    <s v="CUST-1001"/>
    <s v="Ananya Kumar"/>
    <x v="2"/>
    <x v="12"/>
    <s v="New Delhi"/>
    <x v="0"/>
    <s v="Storage"/>
    <x v="3"/>
    <n v="5"/>
    <n v="31030.07"/>
    <n v="0.15"/>
    <n v="4609.12"/>
  </r>
  <r>
    <s v="ORD-1611"/>
    <x v="118"/>
    <s v="CUST-1234"/>
    <s v="Sanjay Das"/>
    <x v="2"/>
    <x v="2"/>
    <s v="Amritsar"/>
    <x v="0"/>
    <s v="Chairs"/>
    <x v="0"/>
    <n v="4"/>
    <n v="26246.47"/>
    <n v="0.05"/>
    <n v="3255.6"/>
  </r>
  <r>
    <s v="ORD-1779"/>
    <x v="119"/>
    <s v="CUST-1086"/>
    <s v="Varun Singh"/>
    <x v="2"/>
    <x v="14"/>
    <s v="Noida"/>
    <x v="0"/>
    <s v="Tables"/>
    <x v="5"/>
    <n v="2"/>
    <n v="16894.900000000001"/>
    <n v="0.15"/>
    <n v="1294.5899999999999"/>
  </r>
  <r>
    <s v="ORD-1205"/>
    <x v="119"/>
    <s v="CUST-1191"/>
    <s v="Rahul Patel"/>
    <x v="1"/>
    <x v="3"/>
    <s v="Udaipur"/>
    <x v="1"/>
    <s v="Accessories"/>
    <x v="24"/>
    <n v="1"/>
    <n v="1456.22"/>
    <n v="0.1"/>
    <n v="77.3"/>
  </r>
  <r>
    <s v="ORD-1017"/>
    <x v="119"/>
    <s v="CUST-1039"/>
    <s v="Divya Gupta"/>
    <x v="2"/>
    <x v="6"/>
    <s v="Faridabad"/>
    <x v="1"/>
    <s v="Accessories"/>
    <x v="8"/>
    <n v="3"/>
    <n v="6664.64"/>
    <n v="0.05"/>
    <n v="1461.52"/>
  </r>
  <r>
    <s v="ORD-1868"/>
    <x v="119"/>
    <s v="CUST-1211"/>
    <s v="Aditya Singh"/>
    <x v="2"/>
    <x v="2"/>
    <s v="Amritsar"/>
    <x v="2"/>
    <s v="Paper"/>
    <x v="17"/>
    <n v="5"/>
    <n v="2085.71"/>
    <n v="0.1"/>
    <n v="321.18"/>
  </r>
  <r>
    <s v="ORD-1458"/>
    <x v="120"/>
    <s v="CUST-1127"/>
    <s v="Ananya Reddy"/>
    <x v="1"/>
    <x v="3"/>
    <s v="Udaipur"/>
    <x v="0"/>
    <s v="Storage"/>
    <x v="13"/>
    <n v="3"/>
    <n v="21823.279999999999"/>
    <n v="0.1"/>
    <n v="2724.32"/>
  </r>
  <r>
    <s v="ORD-1115"/>
    <x v="120"/>
    <s v="CUST-1175"/>
    <s v="Nisha Patel"/>
    <x v="0"/>
    <x v="0"/>
    <s v="Kolkata"/>
    <x v="1"/>
    <s v="Phones"/>
    <x v="18"/>
    <n v="7"/>
    <n v="257644.19"/>
    <n v="0.15"/>
    <n v="17967.73"/>
  </r>
  <r>
    <s v="ORD-1547"/>
    <x v="120"/>
    <s v="CUST-1189"/>
    <s v="Rohan Reddy"/>
    <x v="1"/>
    <x v="8"/>
    <s v="Panaji"/>
    <x v="0"/>
    <s v="Chairs"/>
    <x v="6"/>
    <n v="5"/>
    <n v="11304.45"/>
    <n v="0.2"/>
    <n v="336.68"/>
  </r>
  <r>
    <s v="ORD-1546"/>
    <x v="121"/>
    <s v="CUST-1218"/>
    <s v="Rohan Verma"/>
    <x v="2"/>
    <x v="2"/>
    <s v="Amritsar"/>
    <x v="2"/>
    <s v="Stationery"/>
    <x v="22"/>
    <n v="1"/>
    <n v="222.31"/>
    <n v="0.05"/>
    <n v="21.99"/>
  </r>
  <r>
    <s v="ORD-1338"/>
    <x v="121"/>
    <s v="CUST-1237"/>
    <s v="Priya Rao"/>
    <x v="3"/>
    <x v="10"/>
    <s v="Vijayawada"/>
    <x v="0"/>
    <s v="Tables"/>
    <x v="16"/>
    <n v="6"/>
    <n v="106191.51"/>
    <n v="0.15"/>
    <n v="19514.490000000002"/>
  </r>
  <r>
    <s v="ORD-1126"/>
    <x v="121"/>
    <s v="CUST-1156"/>
    <s v="Isha Kumar"/>
    <x v="1"/>
    <x v="3"/>
    <s v="Jaipur"/>
    <x v="1"/>
    <s v="Laptops"/>
    <x v="9"/>
    <n v="3"/>
    <n v="200770.9"/>
    <n v="0"/>
    <n v="47274.07"/>
  </r>
  <r>
    <s v="ORD-1869"/>
    <x v="122"/>
    <s v="CUST-1228"/>
    <s v="Pooja Gupta"/>
    <x v="0"/>
    <x v="15"/>
    <s v="Cuttack"/>
    <x v="1"/>
    <s v="Phones"/>
    <x v="18"/>
    <n v="7"/>
    <n v="274083.77"/>
    <n v="0"/>
    <n v="56431.92"/>
  </r>
  <r>
    <s v="ORD-1402"/>
    <x v="122"/>
    <s v="CUST-1171"/>
    <s v="Ananya Sharma"/>
    <x v="2"/>
    <x v="12"/>
    <s v="New Delhi"/>
    <x v="1"/>
    <s v="Accessories"/>
    <x v="4"/>
    <n v="1"/>
    <n v="925.29"/>
    <n v="0"/>
    <n v="61.86"/>
  </r>
  <r>
    <s v="ORD-1765"/>
    <x v="122"/>
    <s v="CUST-1104"/>
    <s v="Pooja Gupta"/>
    <x v="1"/>
    <x v="1"/>
    <s v="Mumbai"/>
    <x v="1"/>
    <s v="Accessories"/>
    <x v="8"/>
    <n v="3"/>
    <n v="6842.57"/>
    <n v="0.05"/>
    <n v="1000.11"/>
  </r>
  <r>
    <s v="ORD-1442"/>
    <x v="122"/>
    <s v="CUST-1085"/>
    <s v="Vikram Reddy"/>
    <x v="1"/>
    <x v="13"/>
    <s v="Ahmedabad"/>
    <x v="2"/>
    <s v="Paper"/>
    <x v="25"/>
    <n v="1"/>
    <n v="530.36"/>
    <n v="0"/>
    <n v="36.22"/>
  </r>
  <r>
    <s v="ORD-1270"/>
    <x v="123"/>
    <s v="CUST-1149"/>
    <s v="Nisha Patel"/>
    <x v="2"/>
    <x v="6"/>
    <s v="Faridabad"/>
    <x v="2"/>
    <s v="Organizers"/>
    <x v="23"/>
    <n v="4"/>
    <n v="2629.56"/>
    <n v="0.05"/>
    <n v="531.84"/>
  </r>
  <r>
    <s v="ORD-1839"/>
    <x v="123"/>
    <s v="CUST-1192"/>
    <s v="Divya Verma"/>
    <x v="2"/>
    <x v="14"/>
    <s v="Noida"/>
    <x v="2"/>
    <s v="Paper"/>
    <x v="17"/>
    <n v="6"/>
    <n v="2492.23"/>
    <n v="0.05"/>
    <n v="413.92"/>
  </r>
  <r>
    <s v="ORD-1420"/>
    <x v="124"/>
    <s v="CUST-1151"/>
    <s v="Manoj Das"/>
    <x v="1"/>
    <x v="13"/>
    <s v="Surat"/>
    <x v="1"/>
    <s v="Accessories"/>
    <x v="24"/>
    <n v="5"/>
    <n v="6700.43"/>
    <n v="0.05"/>
    <n v="828.41"/>
  </r>
  <r>
    <s v="ORD-1512"/>
    <x v="124"/>
    <s v="CUST-1211"/>
    <s v="Arjun Verma"/>
    <x v="3"/>
    <x v="4"/>
    <s v="Bengaluru"/>
    <x v="1"/>
    <s v="Accessories"/>
    <x v="4"/>
    <n v="2"/>
    <n v="1739.44"/>
    <n v="0"/>
    <n v="179.12"/>
  </r>
  <r>
    <s v="ORD-1793"/>
    <x v="125"/>
    <s v="CUST-1207"/>
    <s v="Sanjay Kumar"/>
    <x v="1"/>
    <x v="13"/>
    <s v="Ahmedabad"/>
    <x v="0"/>
    <s v="Chairs"/>
    <x v="19"/>
    <n v="6"/>
    <n v="57454.32"/>
    <n v="0.15"/>
    <n v="9848.82"/>
  </r>
  <r>
    <s v="ORD-1650"/>
    <x v="126"/>
    <s v="CUST-1004"/>
    <s v="Meera Gupta"/>
    <x v="0"/>
    <x v="0"/>
    <s v="Kolkata"/>
    <x v="0"/>
    <s v="Chairs"/>
    <x v="0"/>
    <n v="3"/>
    <n v="15970.54"/>
    <n v="0.2"/>
    <n v="1410.64"/>
  </r>
  <r>
    <s v="ORD-1301"/>
    <x v="127"/>
    <s v="CUST-1006"/>
    <s v="Manoj Kumar"/>
    <x v="3"/>
    <x v="11"/>
    <s v="Thiruvananthapuram"/>
    <x v="0"/>
    <s v="Chairs"/>
    <x v="19"/>
    <n v="2"/>
    <n v="20356.05"/>
    <n v="0.2"/>
    <n v="782.94"/>
  </r>
  <r>
    <s v="ORD-1378"/>
    <x v="127"/>
    <s v="CUST-1106"/>
    <s v="Vikram Patel"/>
    <x v="1"/>
    <x v="3"/>
    <s v="Jaipur"/>
    <x v="2"/>
    <s v="Stationery"/>
    <x v="22"/>
    <n v="2"/>
    <n v="539.17999999999995"/>
    <n v="0"/>
    <n v="35.26"/>
  </r>
  <r>
    <s v="ORD-1692"/>
    <x v="127"/>
    <s v="CUST-1205"/>
    <s v="Aditya Reddy"/>
    <x v="3"/>
    <x v="5"/>
    <s v="Hyderabad"/>
    <x v="2"/>
    <s v="Stationery"/>
    <x v="21"/>
    <n v="5"/>
    <n v="1659.31"/>
    <n v="0"/>
    <n v="145.6"/>
  </r>
  <r>
    <s v="ORD-1840"/>
    <x v="127"/>
    <s v="CUST-1247"/>
    <s v="Pooja Rao"/>
    <x v="0"/>
    <x v="7"/>
    <s v="Ranchi"/>
    <x v="1"/>
    <s v="Accessories"/>
    <x v="4"/>
    <n v="3"/>
    <n v="2724.54"/>
    <n v="0"/>
    <n v="487.9"/>
  </r>
  <r>
    <s v="ORD-1065"/>
    <x v="128"/>
    <s v="CUST-1172"/>
    <s v="Priya Gupta"/>
    <x v="1"/>
    <x v="8"/>
    <s v="Panaji"/>
    <x v="0"/>
    <s v="Storage"/>
    <x v="20"/>
    <n v="1"/>
    <n v="4715.24"/>
    <n v="0.05"/>
    <n v="701.39"/>
  </r>
  <r>
    <s v="ORD-1322"/>
    <x v="128"/>
    <s v="CUST-1083"/>
    <s v="Ananya Kumar"/>
    <x v="2"/>
    <x v="14"/>
    <s v="Noida"/>
    <x v="1"/>
    <s v="Accessories"/>
    <x v="8"/>
    <n v="2"/>
    <n v="4589.72"/>
    <n v="0.1"/>
    <n v="897.74"/>
  </r>
  <r>
    <s v="ORD-1880"/>
    <x v="128"/>
    <s v="CUST-1177"/>
    <s v="Sanjay Singh"/>
    <x v="2"/>
    <x v="2"/>
    <s v="Amritsar"/>
    <x v="1"/>
    <s v="Accessories"/>
    <x v="8"/>
    <n v="2"/>
    <n v="5273.21"/>
    <n v="0"/>
    <n v="326.86"/>
  </r>
  <r>
    <s v="ORD-1309"/>
    <x v="129"/>
    <s v="CUST-1181"/>
    <s v="Nisha Nair"/>
    <x v="1"/>
    <x v="8"/>
    <s v="Panaji"/>
    <x v="1"/>
    <s v="Accessories"/>
    <x v="24"/>
    <n v="5"/>
    <n v="7925.97"/>
    <n v="0"/>
    <n v="1734.68"/>
  </r>
  <r>
    <s v="ORD-1578"/>
    <x v="129"/>
    <s v="CUST-1229"/>
    <s v="Divya Das"/>
    <x v="1"/>
    <x v="13"/>
    <s v="Surat"/>
    <x v="0"/>
    <s v="Tables"/>
    <x v="16"/>
    <n v="3"/>
    <n v="67526.37"/>
    <n v="0.05"/>
    <n v="12375.43"/>
  </r>
  <r>
    <s v="ORD-1950"/>
    <x v="130"/>
    <s v="CUST-1083"/>
    <s v="Pooja Rao"/>
    <x v="1"/>
    <x v="3"/>
    <s v="Jaipur"/>
    <x v="1"/>
    <s v="Laptops"/>
    <x v="10"/>
    <n v="1"/>
    <n v="77442.94"/>
    <n v="0"/>
    <n v="15944.3"/>
  </r>
  <r>
    <s v="ORD-1555"/>
    <x v="130"/>
    <s v="CUST-1099"/>
    <s v="Nisha Rao"/>
    <x v="1"/>
    <x v="13"/>
    <s v="Ahmedabad"/>
    <x v="0"/>
    <s v="Chairs"/>
    <x v="19"/>
    <n v="6"/>
    <n v="60839.65"/>
    <n v="0.15"/>
    <n v="7156.51"/>
  </r>
  <r>
    <s v="ORD-1898"/>
    <x v="131"/>
    <s v="CUST-1076"/>
    <s v="Rohan Patel"/>
    <x v="3"/>
    <x v="5"/>
    <s v="Hyderabad"/>
    <x v="2"/>
    <s v="Organizers"/>
    <x v="2"/>
    <n v="6"/>
    <n v="2667.32"/>
    <n v="0.05"/>
    <n v="249.51"/>
  </r>
  <r>
    <s v="ORD-1376"/>
    <x v="131"/>
    <s v="CUST-1171"/>
    <s v="Ananya Rao"/>
    <x v="2"/>
    <x v="6"/>
    <s v="Faridabad"/>
    <x v="0"/>
    <s v="Tables"/>
    <x v="12"/>
    <n v="6"/>
    <n v="32429.29"/>
    <n v="0"/>
    <n v="6015.29"/>
  </r>
  <r>
    <s v="ORD-1414"/>
    <x v="131"/>
    <s v="CUST-1043"/>
    <s v="Nisha Reddy"/>
    <x v="2"/>
    <x v="2"/>
    <s v="Amritsar"/>
    <x v="1"/>
    <s v="Accessories"/>
    <x v="8"/>
    <n v="6"/>
    <n v="14469.8"/>
    <n v="0.1"/>
    <n v="950.09"/>
  </r>
  <r>
    <s v="ORD-1780"/>
    <x v="131"/>
    <s v="CUST-1058"/>
    <s v="Divya Kumar"/>
    <x v="3"/>
    <x v="4"/>
    <s v="Mysuru"/>
    <x v="1"/>
    <s v="Accessories"/>
    <x v="8"/>
    <n v="3"/>
    <n v="6724.89"/>
    <n v="0.1"/>
    <n v="596.64"/>
  </r>
  <r>
    <s v="ORD-1216"/>
    <x v="131"/>
    <s v="CUST-1189"/>
    <s v="Sneha Sharma"/>
    <x v="3"/>
    <x v="10"/>
    <s v="Vijayawada"/>
    <x v="1"/>
    <s v="Phones"/>
    <x v="18"/>
    <n v="6"/>
    <n v="218841.43"/>
    <n v="0.1"/>
    <n v="16907.400000000001"/>
  </r>
  <r>
    <s v="ORD-1156"/>
    <x v="132"/>
    <s v="CUST-1036"/>
    <s v="Aarav Das"/>
    <x v="2"/>
    <x v="14"/>
    <s v="Noida"/>
    <x v="1"/>
    <s v="Accessories"/>
    <x v="4"/>
    <n v="5"/>
    <n v="3997.6"/>
    <n v="0.15"/>
    <n v="629.91999999999996"/>
  </r>
  <r>
    <s v="ORD-1026"/>
    <x v="132"/>
    <s v="CUST-1204"/>
    <s v="Manoj Das"/>
    <x v="3"/>
    <x v="5"/>
    <s v="Hyderabad"/>
    <x v="1"/>
    <s v="Phones"/>
    <x v="11"/>
    <n v="7"/>
    <n v="184819.08"/>
    <n v="0.1"/>
    <n v="29015.4"/>
  </r>
  <r>
    <s v="ORD-1543"/>
    <x v="133"/>
    <s v="CUST-1134"/>
    <s v="Isha Patel"/>
    <x v="0"/>
    <x v="15"/>
    <s v="Bhubaneswar"/>
    <x v="0"/>
    <s v="Tables"/>
    <x v="12"/>
    <n v="6"/>
    <n v="26962.55"/>
    <n v="0.2"/>
    <n v="4038.72"/>
  </r>
  <r>
    <s v="ORD-1599"/>
    <x v="133"/>
    <s v="CUST-1223"/>
    <s v="Kavya Sharma"/>
    <x v="0"/>
    <x v="16"/>
    <s v="Patna"/>
    <x v="1"/>
    <s v="Phones"/>
    <x v="1"/>
    <n v="2"/>
    <n v="33956.31"/>
    <n v="0.05"/>
    <n v="5255.96"/>
  </r>
  <r>
    <s v="ORD-1812"/>
    <x v="134"/>
    <s v="CUST-1010"/>
    <s v="Kiran Reddy"/>
    <x v="3"/>
    <x v="9"/>
    <s v="Coimbatore"/>
    <x v="1"/>
    <s v="Laptops"/>
    <x v="9"/>
    <n v="2"/>
    <n v="117403.64"/>
    <n v="0.05"/>
    <n v="24826.05"/>
  </r>
  <r>
    <s v="ORD-1653"/>
    <x v="134"/>
    <s v="CUST-1194"/>
    <s v="Sanjay Gupta"/>
    <x v="1"/>
    <x v="3"/>
    <s v="Udaipur"/>
    <x v="1"/>
    <s v="Phones"/>
    <x v="1"/>
    <n v="6"/>
    <n v="111644.25"/>
    <n v="0"/>
    <n v="26259.4"/>
  </r>
  <r>
    <s v="ORD-1117"/>
    <x v="135"/>
    <s v="CUST-1093"/>
    <s v="Kavya Reddy"/>
    <x v="3"/>
    <x v="10"/>
    <s v="Vijayawada"/>
    <x v="2"/>
    <s v="Paper"/>
    <x v="17"/>
    <n v="4"/>
    <n v="1838.1"/>
    <n v="0.05"/>
    <n v="153.29"/>
  </r>
  <r>
    <s v="ORD-1985"/>
    <x v="136"/>
    <s v="CUST-1185"/>
    <s v="Arjun Rao"/>
    <x v="0"/>
    <x v="15"/>
    <s v="Bhubaneswar"/>
    <x v="0"/>
    <s v="Storage"/>
    <x v="13"/>
    <n v="4"/>
    <n v="33828.21"/>
    <n v="0.05"/>
    <n v="3736.04"/>
  </r>
  <r>
    <s v="ORD-1873"/>
    <x v="136"/>
    <s v="CUST-1091"/>
    <s v="Pooja Reddy"/>
    <x v="3"/>
    <x v="9"/>
    <s v="Chennai"/>
    <x v="1"/>
    <s v="Phones"/>
    <x v="18"/>
    <n v="7"/>
    <n v="285937.69"/>
    <n v="0.05"/>
    <n v="51631.81"/>
  </r>
  <r>
    <s v="ORD-1723"/>
    <x v="137"/>
    <s v="CUST-1003"/>
    <s v="Ananya Sharma"/>
    <x v="2"/>
    <x v="2"/>
    <s v="Amritsar"/>
    <x v="1"/>
    <s v="Accessories"/>
    <x v="4"/>
    <n v="4"/>
    <n v="3604.87"/>
    <n v="0.05"/>
    <n v="227.19"/>
  </r>
  <r>
    <s v="ORD-1213"/>
    <x v="137"/>
    <s v="CUST-1026"/>
    <s v="Asha Rao"/>
    <x v="0"/>
    <x v="0"/>
    <s v="Kolkata"/>
    <x v="1"/>
    <s v="Accessories"/>
    <x v="8"/>
    <n v="4"/>
    <n v="7954.47"/>
    <n v="0.2"/>
    <n v="356"/>
  </r>
  <r>
    <s v="ORD-1377"/>
    <x v="138"/>
    <s v="CUST-1009"/>
    <s v="Ananya Reddy"/>
    <x v="1"/>
    <x v="8"/>
    <s v="Panaji"/>
    <x v="1"/>
    <s v="Accessories"/>
    <x v="8"/>
    <n v="3"/>
    <n v="7155.13"/>
    <n v="0.1"/>
    <n v="1304.3399999999999"/>
  </r>
  <r>
    <s v="ORD-1233"/>
    <x v="139"/>
    <s v="CUST-1246"/>
    <s v="Aditya Das"/>
    <x v="2"/>
    <x v="2"/>
    <s v="Amritsar"/>
    <x v="1"/>
    <s v="Accessories"/>
    <x v="4"/>
    <n v="2"/>
    <n v="1628.65"/>
    <n v="0.1"/>
    <n v="320.18"/>
  </r>
  <r>
    <s v="ORD-1152"/>
    <x v="139"/>
    <s v="CUST-1008"/>
    <s v="Sneha Gupta"/>
    <x v="1"/>
    <x v="13"/>
    <s v="Ahmedabad"/>
    <x v="0"/>
    <s v="Chairs"/>
    <x v="0"/>
    <n v="4"/>
    <n v="27249.48"/>
    <n v="0"/>
    <n v="2781.3"/>
  </r>
  <r>
    <s v="ORD-1175"/>
    <x v="139"/>
    <s v="CUST-1126"/>
    <s v="Kavya Gupta"/>
    <x v="2"/>
    <x v="6"/>
    <s v="Faridabad"/>
    <x v="2"/>
    <s v="Organizers"/>
    <x v="14"/>
    <n v="1"/>
    <n v="717.52"/>
    <n v="0.05"/>
    <n v="118.03"/>
  </r>
  <r>
    <s v="ORD-1619"/>
    <x v="140"/>
    <s v="CUST-1046"/>
    <s v="Sanjay Sharma"/>
    <x v="3"/>
    <x v="4"/>
    <s v="Bengaluru"/>
    <x v="1"/>
    <s v="Accessories"/>
    <x v="4"/>
    <n v="3"/>
    <n v="2242.79"/>
    <n v="0.2"/>
    <n v="79.819999999999993"/>
  </r>
  <r>
    <s v="ORD-1847"/>
    <x v="140"/>
    <s v="CUST-1141"/>
    <s v="Meera Verma"/>
    <x v="1"/>
    <x v="13"/>
    <s v="Surat"/>
    <x v="1"/>
    <s v="Phones"/>
    <x v="1"/>
    <n v="4"/>
    <n v="63677.89"/>
    <n v="0.1"/>
    <n v="9162.1"/>
  </r>
  <r>
    <s v="ORD-1485"/>
    <x v="141"/>
    <s v="CUST-1123"/>
    <s v="Pooja Patel"/>
    <x v="3"/>
    <x v="5"/>
    <s v="Hyderabad"/>
    <x v="1"/>
    <s v="Phones"/>
    <x v="1"/>
    <n v="5"/>
    <n v="96979.02"/>
    <n v="0"/>
    <n v="9468.7900000000009"/>
  </r>
  <r>
    <s v="ORD-1019"/>
    <x v="142"/>
    <s v="CUST-1054"/>
    <s v="Aarav Gupta"/>
    <x v="3"/>
    <x v="4"/>
    <s v="Bengaluru"/>
    <x v="2"/>
    <s v="Organizers"/>
    <x v="14"/>
    <n v="1"/>
    <n v="735.34"/>
    <n v="0.05"/>
    <n v="148.83000000000001"/>
  </r>
  <r>
    <s v="ORD-1852"/>
    <x v="142"/>
    <s v="CUST-1104"/>
    <s v="Varun Singh"/>
    <x v="2"/>
    <x v="12"/>
    <s v="New Delhi"/>
    <x v="0"/>
    <s v="Chairs"/>
    <x v="6"/>
    <n v="5"/>
    <n v="13189.15"/>
    <n v="0.05"/>
    <n v="901.79"/>
  </r>
  <r>
    <s v="ORD-1887"/>
    <x v="142"/>
    <s v="CUST-1220"/>
    <s v="Isha Nair"/>
    <x v="3"/>
    <x v="9"/>
    <s v="Coimbatore"/>
    <x v="0"/>
    <s v="Storage"/>
    <x v="20"/>
    <n v="1"/>
    <n v="4450.53"/>
    <n v="0.05"/>
    <n v="312.44"/>
  </r>
  <r>
    <s v="ORD-1188"/>
    <x v="142"/>
    <s v="CUST-1217"/>
    <s v="Ananya Singh"/>
    <x v="1"/>
    <x v="1"/>
    <s v="Mumbai"/>
    <x v="1"/>
    <s v="Phones"/>
    <x v="11"/>
    <n v="6"/>
    <n v="142378.49"/>
    <n v="0.1"/>
    <n v="24951.48"/>
  </r>
  <r>
    <s v="ORD-1195"/>
    <x v="143"/>
    <s v="CUST-1127"/>
    <s v="Ananya Patel"/>
    <x v="2"/>
    <x v="2"/>
    <s v="Ludhiana"/>
    <x v="1"/>
    <s v="Accessories"/>
    <x v="8"/>
    <n v="7"/>
    <n v="16198.81"/>
    <n v="0.05"/>
    <n v="3352.9"/>
  </r>
  <r>
    <s v="ORD-1397"/>
    <x v="143"/>
    <s v="CUST-1102"/>
    <s v="Nisha Kumar"/>
    <x v="0"/>
    <x v="7"/>
    <s v="Ranchi"/>
    <x v="0"/>
    <s v="Tables"/>
    <x v="16"/>
    <n v="7"/>
    <n v="137850.04"/>
    <n v="0.1"/>
    <n v="10226.89"/>
  </r>
  <r>
    <s v="ORD-1268"/>
    <x v="143"/>
    <s v="CUST-1109"/>
    <s v="Asha Patel"/>
    <x v="2"/>
    <x v="2"/>
    <s v="Amritsar"/>
    <x v="2"/>
    <s v="Stationery"/>
    <x v="26"/>
    <n v="3"/>
    <n v="541.5"/>
    <n v="0.05"/>
    <n v="115.02"/>
  </r>
  <r>
    <s v="ORD-1157"/>
    <x v="143"/>
    <s v="CUST-1196"/>
    <s v="Divya Das"/>
    <x v="3"/>
    <x v="5"/>
    <s v="Hyderabad"/>
    <x v="1"/>
    <s v="Accessories"/>
    <x v="4"/>
    <n v="1"/>
    <n v="852.16"/>
    <n v="0.1"/>
    <n v="76.989999999999995"/>
  </r>
  <r>
    <s v="ORD-1201"/>
    <x v="143"/>
    <s v="CUST-1126"/>
    <s v="Arjun Kumar"/>
    <x v="3"/>
    <x v="5"/>
    <s v="Hyderabad"/>
    <x v="0"/>
    <s v="Storage"/>
    <x v="3"/>
    <n v="1"/>
    <n v="6472.89"/>
    <n v="0"/>
    <n v="1347.22"/>
  </r>
  <r>
    <s v="ORD-1958"/>
    <x v="144"/>
    <s v="CUST-1013"/>
    <s v="Rohan Reddy"/>
    <x v="3"/>
    <x v="4"/>
    <s v="Mysuru"/>
    <x v="1"/>
    <s v="Accessories"/>
    <x v="8"/>
    <n v="6"/>
    <n v="12700.29"/>
    <n v="0.1"/>
    <n v="2222.69"/>
  </r>
  <r>
    <s v="ORD-1324"/>
    <x v="144"/>
    <s v="CUST-1055"/>
    <s v="Divya Gupta"/>
    <x v="0"/>
    <x v="7"/>
    <s v="Ranchi"/>
    <x v="2"/>
    <s v="Paper"/>
    <x v="25"/>
    <n v="1"/>
    <n v="530.58000000000004"/>
    <n v="0.1"/>
    <n v="100.76"/>
  </r>
  <r>
    <s v="ORD-1265"/>
    <x v="145"/>
    <s v="CUST-1170"/>
    <s v="Aditya Singh"/>
    <x v="2"/>
    <x v="14"/>
    <s v="Noida"/>
    <x v="2"/>
    <s v="Stationery"/>
    <x v="22"/>
    <n v="4"/>
    <n v="921.45"/>
    <n v="0"/>
    <n v="114.5"/>
  </r>
  <r>
    <s v="ORD-1347"/>
    <x v="145"/>
    <s v="CUST-1017"/>
    <s v="Sneha Kumar"/>
    <x v="1"/>
    <x v="1"/>
    <s v="Mumbai"/>
    <x v="1"/>
    <s v="Accessories"/>
    <x v="4"/>
    <n v="5"/>
    <n v="3696.69"/>
    <n v="0.2"/>
    <n v="694.89"/>
  </r>
  <r>
    <s v="ORD-1919"/>
    <x v="146"/>
    <s v="CUST-1116"/>
    <s v="Manoj Reddy"/>
    <x v="2"/>
    <x v="14"/>
    <s v="Lucknow"/>
    <x v="0"/>
    <s v="Tables"/>
    <x v="16"/>
    <n v="5"/>
    <n v="96170.62"/>
    <n v="0.15"/>
    <n v="6319.74"/>
  </r>
  <r>
    <s v="ORD-1465"/>
    <x v="146"/>
    <s v="CUST-1231"/>
    <s v="Sneha Patel"/>
    <x v="0"/>
    <x v="0"/>
    <s v="Kolkata"/>
    <x v="2"/>
    <s v="Stationery"/>
    <x v="26"/>
    <n v="1"/>
    <n v="175.75"/>
    <n v="0.05"/>
    <n v="23.03"/>
  </r>
  <r>
    <s v="ORD-1072"/>
    <x v="146"/>
    <s v="CUST-1136"/>
    <s v="Arjun Patel"/>
    <x v="0"/>
    <x v="0"/>
    <s v="Kolkata"/>
    <x v="1"/>
    <s v="Phones"/>
    <x v="18"/>
    <n v="7"/>
    <n v="235005.51"/>
    <n v="0.15"/>
    <n v="23855.81"/>
  </r>
  <r>
    <s v="ORD-1681"/>
    <x v="146"/>
    <s v="CUST-1249"/>
    <s v="Aarav Reddy"/>
    <x v="2"/>
    <x v="14"/>
    <s v="Lucknow"/>
    <x v="2"/>
    <s v="Paper"/>
    <x v="17"/>
    <n v="7"/>
    <n v="2533.09"/>
    <n v="0.15"/>
    <n v="446.42"/>
  </r>
  <r>
    <s v="ORD-1211"/>
    <x v="147"/>
    <s v="CUST-1012"/>
    <s v="Rahul Reddy"/>
    <x v="0"/>
    <x v="0"/>
    <s v="Kolkata"/>
    <x v="0"/>
    <s v="Chairs"/>
    <x v="6"/>
    <n v="7"/>
    <n v="20124.75"/>
    <n v="0"/>
    <n v="4085.81"/>
  </r>
  <r>
    <s v="ORD-1404"/>
    <x v="147"/>
    <s v="CUST-1022"/>
    <s v="Aditya Reddy"/>
    <x v="3"/>
    <x v="9"/>
    <s v="Chennai"/>
    <x v="0"/>
    <s v="Chairs"/>
    <x v="6"/>
    <n v="6"/>
    <n v="15512.06"/>
    <n v="0.15"/>
    <n v="2778.5"/>
  </r>
  <r>
    <s v="ORD-1733"/>
    <x v="148"/>
    <s v="CUST-1092"/>
    <s v="Divya Kumar"/>
    <x v="3"/>
    <x v="10"/>
    <s v="Tirupati"/>
    <x v="1"/>
    <s v="Accessories"/>
    <x v="4"/>
    <n v="1"/>
    <n v="786.46"/>
    <n v="0.1"/>
    <n v="85.43"/>
  </r>
  <r>
    <s v="ORD-1149"/>
    <x v="149"/>
    <s v="CUST-1011"/>
    <s v="Isha Nair"/>
    <x v="2"/>
    <x v="6"/>
    <s v="Gurugram"/>
    <x v="2"/>
    <s v="Paper"/>
    <x v="7"/>
    <n v="7"/>
    <n v="2091.56"/>
    <n v="0.1"/>
    <n v="201.23"/>
  </r>
  <r>
    <s v="ORD-1928"/>
    <x v="149"/>
    <s v="CUST-1205"/>
    <s v="Sanjay Gupta"/>
    <x v="2"/>
    <x v="2"/>
    <s v="Amritsar"/>
    <x v="1"/>
    <s v="Laptops"/>
    <x v="9"/>
    <n v="4"/>
    <n v="229332.23"/>
    <n v="0"/>
    <n v="31672.69"/>
  </r>
  <r>
    <s v="ORD-1161"/>
    <x v="149"/>
    <s v="CUST-1093"/>
    <s v="Aditya Reddy"/>
    <x v="1"/>
    <x v="3"/>
    <s v="Jaipur"/>
    <x v="1"/>
    <s v="Phones"/>
    <x v="1"/>
    <n v="7"/>
    <n v="112302.5"/>
    <n v="0.1"/>
    <n v="6628.05"/>
  </r>
  <r>
    <s v="ORD-1033"/>
    <x v="149"/>
    <s v="CUST-1219"/>
    <s v="Asha Gupta"/>
    <x v="1"/>
    <x v="13"/>
    <s v="Ahmedabad"/>
    <x v="0"/>
    <s v="Chairs"/>
    <x v="0"/>
    <n v="5"/>
    <n v="30266.959999999999"/>
    <n v="0"/>
    <n v="5315.95"/>
  </r>
  <r>
    <s v="ORD-1220"/>
    <x v="150"/>
    <s v="CUST-1127"/>
    <s v="Ananya Reddy"/>
    <x v="0"/>
    <x v="15"/>
    <s v="Bhubaneswar"/>
    <x v="2"/>
    <s v="Organizers"/>
    <x v="14"/>
    <n v="1"/>
    <n v="695.15"/>
    <n v="0.1"/>
    <n v="42.13"/>
  </r>
  <r>
    <s v="ORD-1618"/>
    <x v="150"/>
    <s v="CUST-1014"/>
    <s v="Ananya Sharma"/>
    <x v="2"/>
    <x v="14"/>
    <s v="Noida"/>
    <x v="2"/>
    <s v="Stationery"/>
    <x v="26"/>
    <n v="6"/>
    <n v="1012.91"/>
    <n v="0.05"/>
    <n v="153.13"/>
  </r>
  <r>
    <s v="ORD-1192"/>
    <x v="150"/>
    <s v="CUST-1178"/>
    <s v="Ananya Verma"/>
    <x v="2"/>
    <x v="2"/>
    <s v="Amritsar"/>
    <x v="0"/>
    <s v="Storage"/>
    <x v="20"/>
    <n v="1"/>
    <n v="4299.1099999999997"/>
    <n v="0.2"/>
    <n v="227.61"/>
  </r>
  <r>
    <s v="ORD-1929"/>
    <x v="150"/>
    <s v="CUST-1103"/>
    <s v="Divya Das"/>
    <x v="1"/>
    <x v="1"/>
    <s v="Pune"/>
    <x v="1"/>
    <s v="Laptops"/>
    <x v="10"/>
    <n v="1"/>
    <n v="70473.81"/>
    <n v="0.15"/>
    <n v="12557.08"/>
  </r>
  <r>
    <s v="ORD-1606"/>
    <x v="151"/>
    <s v="CUST-1075"/>
    <s v="Kavya Sharma"/>
    <x v="3"/>
    <x v="9"/>
    <s v="Chennai"/>
    <x v="0"/>
    <s v="Tables"/>
    <x v="5"/>
    <n v="3"/>
    <n v="24411.439999999999"/>
    <n v="0.1"/>
    <n v="1609.22"/>
  </r>
  <r>
    <s v="ORD-1635"/>
    <x v="151"/>
    <s v="CUST-1191"/>
    <s v="Rohan Sharma"/>
    <x v="1"/>
    <x v="1"/>
    <s v="Pune"/>
    <x v="0"/>
    <s v="Chairs"/>
    <x v="6"/>
    <n v="7"/>
    <n v="22555.32"/>
    <n v="0"/>
    <n v="2066.17"/>
  </r>
  <r>
    <s v="ORD-1267"/>
    <x v="152"/>
    <s v="CUST-1099"/>
    <s v="Sanjay Das"/>
    <x v="3"/>
    <x v="9"/>
    <s v="Coimbatore"/>
    <x v="2"/>
    <s v="Stationery"/>
    <x v="26"/>
    <n v="7"/>
    <n v="1176.4000000000001"/>
    <n v="0.05"/>
    <n v="218.54"/>
  </r>
  <r>
    <s v="ORD-1360"/>
    <x v="152"/>
    <s v="CUST-1060"/>
    <s v="Sneha Singh"/>
    <x v="1"/>
    <x v="13"/>
    <s v="Ahmedabad"/>
    <x v="1"/>
    <s v="Accessories"/>
    <x v="24"/>
    <n v="5"/>
    <n v="7078.4"/>
    <n v="0.05"/>
    <n v="740.34"/>
  </r>
  <r>
    <s v="ORD-1007"/>
    <x v="152"/>
    <s v="CUST-1163"/>
    <s v="Aarav Singh"/>
    <x v="3"/>
    <x v="11"/>
    <s v="Kochi"/>
    <x v="1"/>
    <s v="Phones"/>
    <x v="1"/>
    <n v="4"/>
    <n v="63082.09"/>
    <n v="0.05"/>
    <n v="5411.92"/>
  </r>
  <r>
    <s v="ORD-1934"/>
    <x v="152"/>
    <s v="CUST-1160"/>
    <s v="Varun Das"/>
    <x v="1"/>
    <x v="13"/>
    <s v="Ahmedabad"/>
    <x v="0"/>
    <s v="Storage"/>
    <x v="20"/>
    <n v="4"/>
    <n v="20377.63"/>
    <n v="0.05"/>
    <n v="3249.79"/>
  </r>
  <r>
    <s v="ORD-1945"/>
    <x v="152"/>
    <s v="CUST-1067"/>
    <s v="Priya Sharma"/>
    <x v="0"/>
    <x v="15"/>
    <s v="Cuttack"/>
    <x v="2"/>
    <s v="Stationery"/>
    <x v="22"/>
    <n v="6"/>
    <n v="1388.77"/>
    <n v="0.05"/>
    <n v="204.83"/>
  </r>
  <r>
    <s v="ORD-1148"/>
    <x v="153"/>
    <s v="CUST-1202"/>
    <s v="Aarav Das"/>
    <x v="2"/>
    <x v="12"/>
    <s v="New Delhi"/>
    <x v="1"/>
    <s v="Phones"/>
    <x v="11"/>
    <n v="3"/>
    <n v="73358.36"/>
    <n v="0.15"/>
    <n v="12890.19"/>
  </r>
  <r>
    <s v="ORD-1131"/>
    <x v="153"/>
    <s v="CUST-1045"/>
    <s v="Varun Verma"/>
    <x v="2"/>
    <x v="14"/>
    <s v="Noida"/>
    <x v="1"/>
    <s v="Phones"/>
    <x v="18"/>
    <n v="1"/>
    <n v="32299.73"/>
    <n v="0.2"/>
    <n v="4464.2299999999996"/>
  </r>
  <r>
    <s v="ORD-1151"/>
    <x v="153"/>
    <s v="CUST-1131"/>
    <s v="Rohan Gupta"/>
    <x v="1"/>
    <x v="13"/>
    <s v="Ahmedabad"/>
    <x v="0"/>
    <s v="Tables"/>
    <x v="5"/>
    <n v="7"/>
    <n v="54398.71"/>
    <n v="0.15"/>
    <n v="7950.49"/>
  </r>
  <r>
    <s v="ORD-1940"/>
    <x v="153"/>
    <s v="CUST-1034"/>
    <s v="Kiran Rao"/>
    <x v="1"/>
    <x v="8"/>
    <s v="Panaji"/>
    <x v="2"/>
    <s v="Stationery"/>
    <x v="26"/>
    <n v="4"/>
    <n v="644.45000000000005"/>
    <n v="0.1"/>
    <n v="85.17"/>
  </r>
  <r>
    <s v="ORD-1778"/>
    <x v="153"/>
    <s v="CUST-1092"/>
    <s v="Arjun Singh"/>
    <x v="2"/>
    <x v="12"/>
    <s v="New Delhi"/>
    <x v="0"/>
    <s v="Tables"/>
    <x v="5"/>
    <n v="5"/>
    <n v="40033.660000000003"/>
    <n v="0.15"/>
    <n v="4349.7299999999996"/>
  </r>
  <r>
    <s v="ORD-1429"/>
    <x v="153"/>
    <s v="CUST-1120"/>
    <s v="Kiran Singh"/>
    <x v="3"/>
    <x v="10"/>
    <s v="Tirupati"/>
    <x v="1"/>
    <s v="Laptops"/>
    <x v="15"/>
    <n v="6"/>
    <n v="245035.51999999999"/>
    <n v="0.05"/>
    <n v="18343.98"/>
  </r>
  <r>
    <s v="ORD-1907"/>
    <x v="153"/>
    <s v="CUST-1051"/>
    <s v="Aditya Sharma"/>
    <x v="3"/>
    <x v="10"/>
    <s v="Tirupati"/>
    <x v="0"/>
    <s v="Chairs"/>
    <x v="6"/>
    <n v="2"/>
    <n v="4860.84"/>
    <n v="0.15"/>
    <n v="933.49"/>
  </r>
  <r>
    <s v="ORD-1770"/>
    <x v="154"/>
    <s v="CUST-1013"/>
    <s v="Isha Singh"/>
    <x v="3"/>
    <x v="10"/>
    <s v="Visakhapatnam"/>
    <x v="1"/>
    <s v="Phones"/>
    <x v="1"/>
    <n v="3"/>
    <n v="44734.1"/>
    <n v="0.1"/>
    <n v="9285.08"/>
  </r>
  <r>
    <s v="ORD-1191"/>
    <x v="154"/>
    <s v="CUST-1058"/>
    <s v="Divya Singh"/>
    <x v="2"/>
    <x v="6"/>
    <s v="Faridabad"/>
    <x v="1"/>
    <s v="Accessories"/>
    <x v="4"/>
    <n v="2"/>
    <n v="1600.43"/>
    <n v="0.15"/>
    <n v="227.9"/>
  </r>
  <r>
    <s v="ORD-1554"/>
    <x v="155"/>
    <s v="CUST-1106"/>
    <s v="Divya Nair"/>
    <x v="2"/>
    <x v="14"/>
    <s v="Lucknow"/>
    <x v="2"/>
    <s v="Paper"/>
    <x v="7"/>
    <n v="1"/>
    <n v="336"/>
    <n v="0.1"/>
    <n v="61.87"/>
  </r>
  <r>
    <s v="ORD-1855"/>
    <x v="155"/>
    <s v="CUST-1205"/>
    <s v="Aditya Verma"/>
    <x v="2"/>
    <x v="6"/>
    <s v="Gurugram"/>
    <x v="2"/>
    <s v="Organizers"/>
    <x v="2"/>
    <n v="5"/>
    <n v="2337.44"/>
    <n v="0.05"/>
    <n v="493.46"/>
  </r>
  <r>
    <s v="ORD-1853"/>
    <x v="156"/>
    <s v="CUST-1042"/>
    <s v="Sneha Reddy"/>
    <x v="0"/>
    <x v="7"/>
    <s v="Ranchi"/>
    <x v="2"/>
    <s v="Organizers"/>
    <x v="2"/>
    <n v="4"/>
    <n v="1637.93"/>
    <n v="0.15"/>
    <n v="95.75"/>
  </r>
  <r>
    <s v="ORD-1637"/>
    <x v="156"/>
    <s v="CUST-1210"/>
    <s v="Aarav Das"/>
    <x v="0"/>
    <x v="15"/>
    <s v="Cuttack"/>
    <x v="1"/>
    <s v="Accessories"/>
    <x v="24"/>
    <n v="2"/>
    <n v="2910.1"/>
    <n v="0"/>
    <n v="482.69"/>
  </r>
  <r>
    <s v="ORD-1150"/>
    <x v="156"/>
    <s v="CUST-1169"/>
    <s v="Sanjay Das"/>
    <x v="1"/>
    <x v="1"/>
    <s v="Mumbai"/>
    <x v="0"/>
    <s v="Tables"/>
    <x v="16"/>
    <n v="7"/>
    <n v="136478.17000000001"/>
    <n v="0.1"/>
    <n v="15978.31"/>
  </r>
  <r>
    <s v="ORD-1631"/>
    <x v="156"/>
    <s v="CUST-1201"/>
    <s v="Sneha Kumar"/>
    <x v="2"/>
    <x v="14"/>
    <s v="Lucknow"/>
    <x v="1"/>
    <s v="Phones"/>
    <x v="1"/>
    <n v="1"/>
    <n v="16329.2"/>
    <n v="0.05"/>
    <n v="1199.8900000000001"/>
  </r>
  <r>
    <s v="ORD-1194"/>
    <x v="156"/>
    <s v="CUST-1086"/>
    <s v="Meera Gupta"/>
    <x v="0"/>
    <x v="15"/>
    <s v="Bhubaneswar"/>
    <x v="1"/>
    <s v="Laptops"/>
    <x v="15"/>
    <n v="2"/>
    <n v="95212.61"/>
    <n v="0"/>
    <n v="13599.14"/>
  </r>
  <r>
    <s v="ORD-1601"/>
    <x v="156"/>
    <s v="CUST-1037"/>
    <s v="Divya Rao"/>
    <x v="2"/>
    <x v="14"/>
    <s v="Lucknow"/>
    <x v="1"/>
    <s v="Accessories"/>
    <x v="8"/>
    <n v="7"/>
    <n v="15771.06"/>
    <n v="0.1"/>
    <n v="3446.45"/>
  </r>
  <r>
    <s v="ORD-1884"/>
    <x v="157"/>
    <s v="CUST-1214"/>
    <s v="Pooja Gupta"/>
    <x v="3"/>
    <x v="4"/>
    <s v="Bengaluru"/>
    <x v="1"/>
    <s v="Phones"/>
    <x v="11"/>
    <n v="2"/>
    <n v="51656.75"/>
    <n v="0.05"/>
    <n v="6753.48"/>
  </r>
  <r>
    <s v="ORD-1788"/>
    <x v="157"/>
    <s v="CUST-1221"/>
    <s v="Pooja Singh"/>
    <x v="1"/>
    <x v="13"/>
    <s v="Ahmedabad"/>
    <x v="2"/>
    <s v="Organizers"/>
    <x v="14"/>
    <n v="4"/>
    <n v="2790.98"/>
    <n v="0"/>
    <n v="457.66"/>
  </r>
  <r>
    <s v="ORD-1539"/>
    <x v="158"/>
    <s v="CUST-1146"/>
    <s v="Priya Singh"/>
    <x v="3"/>
    <x v="9"/>
    <s v="Coimbatore"/>
    <x v="0"/>
    <s v="Chairs"/>
    <x v="0"/>
    <n v="5"/>
    <n v="27316.14"/>
    <n v="0.1"/>
    <n v="2257.21"/>
  </r>
  <r>
    <s v="ORD-1286"/>
    <x v="158"/>
    <s v="CUST-1197"/>
    <s v="Divya Verma"/>
    <x v="0"/>
    <x v="7"/>
    <s v="Ranchi"/>
    <x v="1"/>
    <s v="Phones"/>
    <x v="11"/>
    <n v="1"/>
    <n v="28214.080000000002"/>
    <n v="0"/>
    <n v="6664.51"/>
  </r>
  <r>
    <s v="ORD-1401"/>
    <x v="158"/>
    <s v="CUST-1074"/>
    <s v="Isha Nair"/>
    <x v="2"/>
    <x v="12"/>
    <s v="New Delhi"/>
    <x v="0"/>
    <s v="Tables"/>
    <x v="5"/>
    <n v="7"/>
    <n v="65504.82"/>
    <n v="0.05"/>
    <n v="4871.2"/>
  </r>
  <r>
    <s v="ORD-1973"/>
    <x v="158"/>
    <s v="CUST-1175"/>
    <s v="Vikram Patel"/>
    <x v="3"/>
    <x v="9"/>
    <s v="Chennai"/>
    <x v="2"/>
    <s v="Organizers"/>
    <x v="2"/>
    <n v="7"/>
    <n v="2802.39"/>
    <n v="0.1"/>
    <n v="201.26"/>
  </r>
  <r>
    <s v="ORD-1858"/>
    <x v="159"/>
    <s v="CUST-1047"/>
    <s v="Arjun Nair"/>
    <x v="1"/>
    <x v="13"/>
    <s v="Ahmedabad"/>
    <x v="0"/>
    <s v="Tables"/>
    <x v="5"/>
    <n v="4"/>
    <n v="34188.74"/>
    <n v="0.05"/>
    <n v="2485.67"/>
  </r>
  <r>
    <s v="ORD-1610"/>
    <x v="160"/>
    <s v="CUST-1039"/>
    <s v="Sanjay Sharma"/>
    <x v="2"/>
    <x v="6"/>
    <s v="Faridabad"/>
    <x v="1"/>
    <s v="Accessories"/>
    <x v="8"/>
    <n v="6"/>
    <n v="14444.41"/>
    <n v="0"/>
    <n v="2146.91"/>
  </r>
  <r>
    <s v="ORD-1074"/>
    <x v="160"/>
    <s v="CUST-1204"/>
    <s v="Meera Patel"/>
    <x v="1"/>
    <x v="13"/>
    <s v="Surat"/>
    <x v="0"/>
    <s v="Tables"/>
    <x v="12"/>
    <n v="6"/>
    <n v="31711.759999999998"/>
    <n v="0"/>
    <n v="6047.34"/>
  </r>
  <r>
    <s v="ORD-1842"/>
    <x v="161"/>
    <s v="CUST-1096"/>
    <s v="Divya Singh"/>
    <x v="1"/>
    <x v="1"/>
    <s v="Nagpur"/>
    <x v="2"/>
    <s v="Paper"/>
    <x v="17"/>
    <n v="7"/>
    <n v="3249.04"/>
    <n v="0"/>
    <n v="414.86"/>
  </r>
  <r>
    <s v="ORD-1407"/>
    <x v="161"/>
    <s v="CUST-1182"/>
    <s v="Divya Kumar"/>
    <x v="0"/>
    <x v="7"/>
    <s v="Ranchi"/>
    <x v="2"/>
    <s v="Stationery"/>
    <x v="21"/>
    <n v="6"/>
    <n v="1856.21"/>
    <n v="0.05"/>
    <n v="100.87"/>
  </r>
  <r>
    <s v="ORD-1516"/>
    <x v="162"/>
    <s v="CUST-1035"/>
    <s v="Rahul Gupta"/>
    <x v="0"/>
    <x v="0"/>
    <s v="Kolkata"/>
    <x v="1"/>
    <s v="Phones"/>
    <x v="1"/>
    <n v="2"/>
    <n v="37450.36"/>
    <n v="0"/>
    <n v="6077.76"/>
  </r>
  <r>
    <s v="ORD-1956"/>
    <x v="162"/>
    <s v="CUST-1008"/>
    <s v="Priya Nair"/>
    <x v="2"/>
    <x v="12"/>
    <s v="New Delhi"/>
    <x v="1"/>
    <s v="Phones"/>
    <x v="1"/>
    <n v="2"/>
    <n v="33012.29"/>
    <n v="0.05"/>
    <n v="3066.57"/>
  </r>
  <r>
    <s v="ORD-1266"/>
    <x v="162"/>
    <s v="CUST-1010"/>
    <s v="Ananya Nair"/>
    <x v="3"/>
    <x v="4"/>
    <s v="Mysuru"/>
    <x v="2"/>
    <s v="Organizers"/>
    <x v="2"/>
    <n v="5"/>
    <n v="2362.66"/>
    <n v="0"/>
    <n v="522.23"/>
  </r>
  <r>
    <s v="ORD-1856"/>
    <x v="163"/>
    <s v="CUST-1156"/>
    <s v="Aarav Verma"/>
    <x v="2"/>
    <x v="2"/>
    <s v="Ludhiana"/>
    <x v="2"/>
    <s v="Stationery"/>
    <x v="26"/>
    <n v="4"/>
    <n v="650.16"/>
    <n v="0.1"/>
    <n v="57.44"/>
  </r>
  <r>
    <s v="ORD-1862"/>
    <x v="163"/>
    <s v="CUST-1225"/>
    <s v="Isha Das"/>
    <x v="3"/>
    <x v="4"/>
    <s v="Mysuru"/>
    <x v="2"/>
    <s v="Paper"/>
    <x v="25"/>
    <n v="3"/>
    <n v="1410.98"/>
    <n v="0.15"/>
    <n v="81.2"/>
  </r>
  <r>
    <s v="ORD-1585"/>
    <x v="164"/>
    <s v="CUST-1026"/>
    <s v="Arjun Reddy"/>
    <x v="0"/>
    <x v="0"/>
    <s v="Kolkata"/>
    <x v="0"/>
    <s v="Storage"/>
    <x v="3"/>
    <n v="1"/>
    <n v="5620.05"/>
    <n v="0.15"/>
    <n v="539.41"/>
  </r>
  <r>
    <s v="ORD-1096"/>
    <x v="165"/>
    <s v="CUST-1072"/>
    <s v="Divya Das"/>
    <x v="2"/>
    <x v="12"/>
    <s v="New Delhi"/>
    <x v="1"/>
    <s v="Phones"/>
    <x v="11"/>
    <n v="2"/>
    <n v="49969.89"/>
    <n v="0.05"/>
    <n v="9073.75"/>
  </r>
  <r>
    <s v="ORD-1699"/>
    <x v="165"/>
    <s v="CUST-1131"/>
    <s v="Rohan Das"/>
    <x v="0"/>
    <x v="0"/>
    <s v="Kolkata"/>
    <x v="1"/>
    <s v="Phones"/>
    <x v="1"/>
    <n v="2"/>
    <n v="30358.66"/>
    <n v="0.15"/>
    <n v="5028.91"/>
  </r>
  <r>
    <s v="ORD-1662"/>
    <x v="166"/>
    <s v="CUST-1014"/>
    <s v="Aarav Sharma"/>
    <x v="2"/>
    <x v="12"/>
    <s v="New Delhi"/>
    <x v="0"/>
    <s v="Chairs"/>
    <x v="19"/>
    <n v="2"/>
    <n v="18840.759999999998"/>
    <n v="0.2"/>
    <n v="2850.87"/>
  </r>
  <r>
    <s v="ORD-1437"/>
    <x v="167"/>
    <s v="CUST-1063"/>
    <s v="Ananya Singh"/>
    <x v="3"/>
    <x v="9"/>
    <s v="Chennai"/>
    <x v="0"/>
    <s v="Tables"/>
    <x v="16"/>
    <n v="4"/>
    <n v="92513.37"/>
    <n v="0"/>
    <n v="16818.560000000001"/>
  </r>
  <r>
    <s v="ORD-1719"/>
    <x v="167"/>
    <s v="CUST-1245"/>
    <s v="Aditya Gupta"/>
    <x v="1"/>
    <x v="1"/>
    <s v="Mumbai"/>
    <x v="2"/>
    <s v="Stationery"/>
    <x v="21"/>
    <n v="6"/>
    <n v="1864.58"/>
    <n v="0"/>
    <n v="310.5"/>
  </r>
  <r>
    <s v="ORD-1798"/>
    <x v="167"/>
    <s v="CUST-1139"/>
    <s v="Vikram Verma"/>
    <x v="2"/>
    <x v="6"/>
    <s v="Gurugram"/>
    <x v="2"/>
    <s v="Stationery"/>
    <x v="26"/>
    <n v="4"/>
    <n v="556.46"/>
    <n v="0.2"/>
    <n v="29.71"/>
  </r>
  <r>
    <s v="ORD-1433"/>
    <x v="168"/>
    <s v="CUST-1072"/>
    <s v="Divya Patel"/>
    <x v="2"/>
    <x v="2"/>
    <s v="Amritsar"/>
    <x v="0"/>
    <s v="Storage"/>
    <x v="13"/>
    <n v="3"/>
    <n v="23073.46"/>
    <n v="0.15"/>
    <n v="1802.84"/>
  </r>
  <r>
    <s v="ORD-1247"/>
    <x v="168"/>
    <s v="CUST-1165"/>
    <s v="Sanjay Verma"/>
    <x v="1"/>
    <x v="13"/>
    <s v="Surat"/>
    <x v="0"/>
    <s v="Tables"/>
    <x v="16"/>
    <n v="3"/>
    <n v="66812.55"/>
    <n v="0.05"/>
    <n v="7878.35"/>
  </r>
  <r>
    <s v="ORD-1203"/>
    <x v="169"/>
    <s v="CUST-1034"/>
    <s v="Rohan Kumar"/>
    <x v="3"/>
    <x v="9"/>
    <s v="Coimbatore"/>
    <x v="1"/>
    <s v="Laptops"/>
    <x v="15"/>
    <n v="4"/>
    <n v="143223.60999999999"/>
    <n v="0.15"/>
    <n v="10480.719999999999"/>
  </r>
  <r>
    <s v="ORD-1078"/>
    <x v="169"/>
    <s v="CUST-1198"/>
    <s v="Aarav Sharma"/>
    <x v="1"/>
    <x v="8"/>
    <s v="Panaji"/>
    <x v="2"/>
    <s v="Stationery"/>
    <x v="21"/>
    <n v="3"/>
    <n v="859.59"/>
    <n v="0.05"/>
    <n v="70.27"/>
  </r>
  <r>
    <s v="ORD-1481"/>
    <x v="170"/>
    <s v="CUST-1013"/>
    <s v="Manoj Kumar"/>
    <x v="3"/>
    <x v="5"/>
    <s v="Hyderabad"/>
    <x v="1"/>
    <s v="Phones"/>
    <x v="11"/>
    <n v="5"/>
    <n v="132650.84"/>
    <n v="0"/>
    <n v="21027.599999999999"/>
  </r>
  <r>
    <s v="ORD-1499"/>
    <x v="170"/>
    <s v="CUST-1025"/>
    <s v="Arjun Gupta"/>
    <x v="1"/>
    <x v="1"/>
    <s v="Mumbai"/>
    <x v="2"/>
    <s v="Organizers"/>
    <x v="23"/>
    <n v="4"/>
    <n v="2233.77"/>
    <n v="0.2"/>
    <n v="249.32"/>
  </r>
  <r>
    <s v="ORD-1189"/>
    <x v="170"/>
    <s v="CUST-1223"/>
    <s v="Isha Nair"/>
    <x v="3"/>
    <x v="4"/>
    <s v="Mysuru"/>
    <x v="1"/>
    <s v="Accessories"/>
    <x v="8"/>
    <n v="7"/>
    <n v="13438.98"/>
    <n v="0.2"/>
    <n v="926.63"/>
  </r>
  <r>
    <s v="ORD-1358"/>
    <x v="170"/>
    <s v="CUST-1170"/>
    <s v="Varun Sharma"/>
    <x v="3"/>
    <x v="4"/>
    <s v="Bengaluru"/>
    <x v="0"/>
    <s v="Storage"/>
    <x v="13"/>
    <n v="5"/>
    <n v="36737.49"/>
    <n v="0.1"/>
    <n v="5289.23"/>
  </r>
  <r>
    <s v="ORD-1979"/>
    <x v="171"/>
    <s v="CUST-1083"/>
    <s v="Manoj Rao"/>
    <x v="2"/>
    <x v="14"/>
    <s v="Lucknow"/>
    <x v="1"/>
    <s v="Accessories"/>
    <x v="8"/>
    <n v="2"/>
    <n v="4843.59"/>
    <n v="0.05"/>
    <n v="975.01"/>
  </r>
  <r>
    <s v="ORD-1039"/>
    <x v="172"/>
    <s v="CUST-1167"/>
    <s v="Nisha Verma"/>
    <x v="3"/>
    <x v="4"/>
    <s v="Bengaluru"/>
    <x v="0"/>
    <s v="Chairs"/>
    <x v="0"/>
    <n v="7"/>
    <n v="36283.120000000003"/>
    <n v="0.15"/>
    <n v="7168.36"/>
  </r>
  <r>
    <s v="ORD-1615"/>
    <x v="172"/>
    <s v="CUST-1070"/>
    <s v="Sanjay Nair"/>
    <x v="1"/>
    <x v="13"/>
    <s v="Ahmedabad"/>
    <x v="2"/>
    <s v="Organizers"/>
    <x v="2"/>
    <n v="3"/>
    <n v="1216.1600000000001"/>
    <n v="0.15"/>
    <n v="169.36"/>
  </r>
  <r>
    <s v="ORD-1357"/>
    <x v="172"/>
    <s v="CUST-1213"/>
    <s v="Varun Reddy"/>
    <x v="3"/>
    <x v="9"/>
    <s v="Coimbatore"/>
    <x v="1"/>
    <s v="Phones"/>
    <x v="1"/>
    <n v="6"/>
    <n v="107419.26"/>
    <n v="0.05"/>
    <n v="5985.41"/>
  </r>
  <r>
    <s v="ORD-1339"/>
    <x v="173"/>
    <s v="CUST-1076"/>
    <s v="Sanjay Singh"/>
    <x v="2"/>
    <x v="2"/>
    <s v="Ludhiana"/>
    <x v="0"/>
    <s v="Tables"/>
    <x v="12"/>
    <n v="6"/>
    <n v="32843.43"/>
    <n v="0.05"/>
    <n v="3814.12"/>
  </r>
  <r>
    <s v="ORD-1014"/>
    <x v="173"/>
    <s v="CUST-1113"/>
    <s v="Priya Reddy"/>
    <x v="1"/>
    <x v="1"/>
    <s v="Pune"/>
    <x v="2"/>
    <s v="Paper"/>
    <x v="17"/>
    <n v="2"/>
    <n v="764.39"/>
    <n v="0.1"/>
    <n v="167.85"/>
  </r>
  <r>
    <s v="ORD-1418"/>
    <x v="173"/>
    <s v="CUST-1033"/>
    <s v="Manoj Patel"/>
    <x v="1"/>
    <x v="8"/>
    <s v="Panaji"/>
    <x v="2"/>
    <s v="Paper"/>
    <x v="17"/>
    <n v="6"/>
    <n v="2834.12"/>
    <n v="0"/>
    <n v="309.14"/>
  </r>
  <r>
    <s v="ORD-1379"/>
    <x v="173"/>
    <s v="CUST-1116"/>
    <s v="Isha Reddy"/>
    <x v="0"/>
    <x v="15"/>
    <s v="Bhubaneswar"/>
    <x v="0"/>
    <s v="Chairs"/>
    <x v="0"/>
    <n v="5"/>
    <n v="31520.62"/>
    <n v="0.1"/>
    <n v="5618.27"/>
  </r>
  <r>
    <s v="ORD-1006"/>
    <x v="174"/>
    <s v="CUST-1124"/>
    <s v="Kiran Nair"/>
    <x v="2"/>
    <x v="14"/>
    <s v="Lucknow"/>
    <x v="2"/>
    <s v="Stationery"/>
    <x v="26"/>
    <n v="2"/>
    <n v="328.5"/>
    <n v="0.1"/>
    <n v="70.22"/>
  </r>
  <r>
    <s v="ORD-1166"/>
    <x v="174"/>
    <s v="CUST-1139"/>
    <s v="Asha Das"/>
    <x v="3"/>
    <x v="11"/>
    <s v="Thiruvananthapuram"/>
    <x v="1"/>
    <s v="Phones"/>
    <x v="1"/>
    <n v="2"/>
    <n v="33365.57"/>
    <n v="0"/>
    <n v="4232.54"/>
  </r>
  <r>
    <s v="ORD-1607"/>
    <x v="175"/>
    <s v="CUST-1131"/>
    <s v="Sneha Patel"/>
    <x v="3"/>
    <x v="4"/>
    <s v="Mysuru"/>
    <x v="1"/>
    <s v="Laptops"/>
    <x v="15"/>
    <n v="6"/>
    <n v="273189.05"/>
    <n v="0.05"/>
    <n v="23063.599999999999"/>
  </r>
  <r>
    <s v="ORD-1521"/>
    <x v="175"/>
    <s v="CUST-1091"/>
    <s v="Kiran Verma"/>
    <x v="1"/>
    <x v="13"/>
    <s v="Surat"/>
    <x v="0"/>
    <s v="Storage"/>
    <x v="3"/>
    <n v="7"/>
    <n v="43787.43"/>
    <n v="0.05"/>
    <n v="8039.98"/>
  </r>
  <r>
    <s v="ORD-1345"/>
    <x v="176"/>
    <s v="CUST-1115"/>
    <s v="Aditya Das"/>
    <x v="1"/>
    <x v="3"/>
    <s v="Jaipur"/>
    <x v="2"/>
    <s v="Stationery"/>
    <x v="26"/>
    <n v="3"/>
    <n v="529.61"/>
    <n v="0"/>
    <n v="108.18"/>
  </r>
  <r>
    <s v="ORD-1043"/>
    <x v="177"/>
    <s v="CUST-1113"/>
    <s v="Aarav Rao"/>
    <x v="1"/>
    <x v="13"/>
    <s v="Surat"/>
    <x v="1"/>
    <s v="Phones"/>
    <x v="18"/>
    <n v="1"/>
    <n v="38894.93"/>
    <n v="0.1"/>
    <n v="3218.6"/>
  </r>
  <r>
    <s v="ORD-1109"/>
    <x v="177"/>
    <s v="CUST-1155"/>
    <s v="Sneha Das"/>
    <x v="2"/>
    <x v="14"/>
    <s v="Noida"/>
    <x v="2"/>
    <s v="Organizers"/>
    <x v="23"/>
    <n v="5"/>
    <n v="2849.78"/>
    <n v="0.15"/>
    <n v="434.38"/>
  </r>
  <r>
    <s v="ORD-1177"/>
    <x v="177"/>
    <s v="CUST-1118"/>
    <s v="Manoj Das"/>
    <x v="0"/>
    <x v="16"/>
    <s v="Patna"/>
    <x v="0"/>
    <s v="Storage"/>
    <x v="3"/>
    <n v="6"/>
    <n v="38346.42"/>
    <n v="0.1"/>
    <n v="5042.74"/>
  </r>
  <r>
    <s v="ORD-1620"/>
    <x v="177"/>
    <s v="CUST-1206"/>
    <s v="Meera Sharma"/>
    <x v="3"/>
    <x v="11"/>
    <s v="Kochi"/>
    <x v="1"/>
    <s v="Laptops"/>
    <x v="10"/>
    <n v="7"/>
    <n v="490053.84"/>
    <n v="0.1"/>
    <n v="54032.67"/>
  </r>
  <r>
    <s v="ORD-1632"/>
    <x v="178"/>
    <s v="CUST-1218"/>
    <s v="Kavya Sharma"/>
    <x v="2"/>
    <x v="6"/>
    <s v="Gurugram"/>
    <x v="0"/>
    <s v="Chairs"/>
    <x v="6"/>
    <n v="5"/>
    <n v="13251.3"/>
    <n v="0.15"/>
    <n v="481.4"/>
  </r>
  <r>
    <s v="ORD-1557"/>
    <x v="178"/>
    <s v="CUST-1241"/>
    <s v="Manoj Kumar"/>
    <x v="0"/>
    <x v="15"/>
    <s v="Bhubaneswar"/>
    <x v="2"/>
    <s v="Organizers"/>
    <x v="2"/>
    <n v="3"/>
    <n v="1551.65"/>
    <n v="0"/>
    <n v="279.22000000000003"/>
  </r>
  <r>
    <s v="ORD-1030"/>
    <x v="178"/>
    <s v="CUST-1191"/>
    <s v="Arjun Rao"/>
    <x v="3"/>
    <x v="5"/>
    <s v="Hyderabad"/>
    <x v="0"/>
    <s v="Tables"/>
    <x v="5"/>
    <n v="1"/>
    <n v="8248.9500000000007"/>
    <n v="0.1"/>
    <n v="1747.75"/>
  </r>
  <r>
    <s v="ORD-1742"/>
    <x v="179"/>
    <s v="CUST-1243"/>
    <s v="Pooja Nair"/>
    <x v="1"/>
    <x v="8"/>
    <s v="Panaji"/>
    <x v="0"/>
    <s v="Storage"/>
    <x v="13"/>
    <n v="1"/>
    <n v="8186"/>
    <n v="0"/>
    <n v="1674.56"/>
  </r>
  <r>
    <s v="ORD-1493"/>
    <x v="180"/>
    <s v="CUST-1214"/>
    <s v="Sanjay Rao"/>
    <x v="3"/>
    <x v="9"/>
    <s v="Coimbatore"/>
    <x v="2"/>
    <s v="Stationery"/>
    <x v="22"/>
    <n v="1"/>
    <n v="224.89"/>
    <n v="0.15"/>
    <n v="25.24"/>
  </r>
  <r>
    <s v="ORD-1085"/>
    <x v="180"/>
    <s v="CUST-1215"/>
    <s v="Meera Patel"/>
    <x v="0"/>
    <x v="7"/>
    <s v="Ranchi"/>
    <x v="1"/>
    <s v="Phones"/>
    <x v="11"/>
    <n v="2"/>
    <n v="45694.29"/>
    <n v="0.2"/>
    <n v="3676.37"/>
  </r>
  <r>
    <s v="ORD-1035"/>
    <x v="181"/>
    <s v="CUST-1058"/>
    <s v="Divya Gupta"/>
    <x v="3"/>
    <x v="5"/>
    <s v="Hyderabad"/>
    <x v="1"/>
    <s v="Laptops"/>
    <x v="15"/>
    <n v="2"/>
    <n v="78934.490000000005"/>
    <n v="0.1"/>
    <n v="6861.38"/>
  </r>
  <r>
    <s v="ORD-1571"/>
    <x v="181"/>
    <s v="CUST-1074"/>
    <s v="Isha Gupta"/>
    <x v="1"/>
    <x v="1"/>
    <s v="Mumbai"/>
    <x v="2"/>
    <s v="Organizers"/>
    <x v="14"/>
    <n v="6"/>
    <n v="3816.73"/>
    <n v="0.15"/>
    <n v="343.99"/>
  </r>
  <r>
    <s v="ORD-1436"/>
    <x v="181"/>
    <s v="CUST-1035"/>
    <s v="Rahul Rao"/>
    <x v="0"/>
    <x v="7"/>
    <s v="Ranchi"/>
    <x v="1"/>
    <s v="Accessories"/>
    <x v="8"/>
    <n v="1"/>
    <n v="2031.31"/>
    <n v="0.2"/>
    <n v="70.599999999999994"/>
  </r>
  <r>
    <s v="ORD-1640"/>
    <x v="182"/>
    <s v="CUST-1198"/>
    <s v="Sanjay Patel"/>
    <x v="1"/>
    <x v="1"/>
    <s v="Nagpur"/>
    <x v="2"/>
    <s v="Stationery"/>
    <x v="21"/>
    <n v="1"/>
    <n v="295.91000000000003"/>
    <n v="0.05"/>
    <n v="31.65"/>
  </r>
  <r>
    <s v="ORD-1430"/>
    <x v="182"/>
    <s v="CUST-1247"/>
    <s v="Divya Patel"/>
    <x v="3"/>
    <x v="10"/>
    <s v="Tirupati"/>
    <x v="1"/>
    <s v="Accessories"/>
    <x v="8"/>
    <n v="7"/>
    <n v="17180.63"/>
    <n v="0"/>
    <n v="2187.27"/>
  </r>
  <r>
    <s v="ORD-1503"/>
    <x v="182"/>
    <s v="CUST-1158"/>
    <s v="Meera Patel"/>
    <x v="2"/>
    <x v="6"/>
    <s v="Faridabad"/>
    <x v="1"/>
    <s v="Accessories"/>
    <x v="8"/>
    <n v="1"/>
    <n v="1987.97"/>
    <n v="0.15"/>
    <n v="79.569999999999993"/>
  </r>
  <r>
    <s v="ORD-1675"/>
    <x v="183"/>
    <s v="CUST-1026"/>
    <s v="Kavya Kumar"/>
    <x v="1"/>
    <x v="1"/>
    <s v="Mumbai"/>
    <x v="2"/>
    <s v="Stationery"/>
    <x v="22"/>
    <n v="1"/>
    <n v="202.96"/>
    <n v="0.2"/>
    <n v="17.940000000000001"/>
  </r>
  <r>
    <s v="ORD-1015"/>
    <x v="183"/>
    <s v="CUST-1160"/>
    <s v="Ananya Das"/>
    <x v="1"/>
    <x v="8"/>
    <s v="Panaji"/>
    <x v="1"/>
    <s v="Phones"/>
    <x v="1"/>
    <n v="3"/>
    <n v="48840.55"/>
    <n v="0.1"/>
    <n v="5890.22"/>
  </r>
  <r>
    <s v="ORD-1825"/>
    <x v="184"/>
    <s v="CUST-1080"/>
    <s v="Vikram Sharma"/>
    <x v="1"/>
    <x v="13"/>
    <s v="Surat"/>
    <x v="0"/>
    <s v="Tables"/>
    <x v="5"/>
    <n v="5"/>
    <n v="40392.550000000003"/>
    <n v="0.1"/>
    <n v="6462.42"/>
  </r>
  <r>
    <s v="ORD-1933"/>
    <x v="184"/>
    <s v="CUST-1148"/>
    <s v="Priya Kumar"/>
    <x v="3"/>
    <x v="11"/>
    <s v="Thiruvananthapuram"/>
    <x v="1"/>
    <s v="Accessories"/>
    <x v="24"/>
    <n v="3"/>
    <n v="4089.68"/>
    <n v="0.15"/>
    <n v="674.87"/>
  </r>
  <r>
    <s v="ORD-1507"/>
    <x v="185"/>
    <s v="CUST-1238"/>
    <s v="Kavya Kumar"/>
    <x v="0"/>
    <x v="15"/>
    <s v="Cuttack"/>
    <x v="0"/>
    <s v="Storage"/>
    <x v="13"/>
    <n v="2"/>
    <n v="15096.89"/>
    <n v="0.05"/>
    <n v="1999.16"/>
  </r>
  <r>
    <s v="ORD-1443"/>
    <x v="185"/>
    <s v="CUST-1197"/>
    <s v="Isha Nair"/>
    <x v="2"/>
    <x v="12"/>
    <s v="New Delhi"/>
    <x v="2"/>
    <s v="Stationery"/>
    <x v="26"/>
    <n v="4"/>
    <n v="705.76"/>
    <n v="0"/>
    <n v="114.85"/>
  </r>
  <r>
    <s v="ORD-1016"/>
    <x v="185"/>
    <s v="CUST-1124"/>
    <s v="Sneha Kumar"/>
    <x v="2"/>
    <x v="6"/>
    <s v="Gurugram"/>
    <x v="2"/>
    <s v="Stationery"/>
    <x v="22"/>
    <n v="6"/>
    <n v="1497.15"/>
    <n v="0.05"/>
    <n v="290"/>
  </r>
  <r>
    <s v="ORD-1092"/>
    <x v="185"/>
    <s v="CUST-1040"/>
    <s v="Sanjay Sharma"/>
    <x v="3"/>
    <x v="4"/>
    <s v="Bengaluru"/>
    <x v="2"/>
    <s v="Organizers"/>
    <x v="23"/>
    <n v="3"/>
    <n v="1932.8"/>
    <n v="0.05"/>
    <n v="133.72999999999999"/>
  </r>
  <r>
    <s v="ORD-1913"/>
    <x v="185"/>
    <s v="CUST-1059"/>
    <s v="Rohan Das"/>
    <x v="1"/>
    <x v="13"/>
    <s v="Surat"/>
    <x v="0"/>
    <s v="Tables"/>
    <x v="16"/>
    <n v="2"/>
    <n v="40972.04"/>
    <n v="0"/>
    <n v="7178.53"/>
  </r>
  <r>
    <s v="ORD-1776"/>
    <x v="186"/>
    <s v="CUST-1093"/>
    <s v="Rohan Patel"/>
    <x v="3"/>
    <x v="4"/>
    <s v="Mysuru"/>
    <x v="0"/>
    <s v="Chairs"/>
    <x v="6"/>
    <n v="4"/>
    <n v="10684.92"/>
    <n v="0.05"/>
    <n v="668.19"/>
  </r>
  <r>
    <s v="ORD-1121"/>
    <x v="186"/>
    <s v="CUST-1168"/>
    <s v="Divya Sharma"/>
    <x v="2"/>
    <x v="12"/>
    <s v="New Delhi"/>
    <x v="1"/>
    <s v="Phones"/>
    <x v="11"/>
    <n v="7"/>
    <n v="189720.1"/>
    <n v="0.05"/>
    <n v="33474.92"/>
  </r>
  <r>
    <s v="ORD-1652"/>
    <x v="187"/>
    <s v="CUST-1058"/>
    <s v="Rohan Sharma"/>
    <x v="3"/>
    <x v="4"/>
    <s v="Mysuru"/>
    <x v="1"/>
    <s v="Accessories"/>
    <x v="4"/>
    <n v="5"/>
    <n v="4549.92"/>
    <n v="0"/>
    <n v="586.44000000000005"/>
  </r>
  <r>
    <s v="ORD-1462"/>
    <x v="187"/>
    <s v="CUST-1079"/>
    <s v="Varun Singh"/>
    <x v="1"/>
    <x v="1"/>
    <s v="Mumbai"/>
    <x v="1"/>
    <s v="Laptops"/>
    <x v="10"/>
    <n v="4"/>
    <n v="284347.75"/>
    <n v="0.1"/>
    <n v="14163.97"/>
  </r>
  <r>
    <s v="ORD-1596"/>
    <x v="188"/>
    <s v="CUST-1231"/>
    <s v="Kavya Sharma"/>
    <x v="1"/>
    <x v="3"/>
    <s v="Udaipur"/>
    <x v="1"/>
    <s v="Phones"/>
    <x v="1"/>
    <n v="3"/>
    <n v="49389.66"/>
    <n v="0.05"/>
    <n v="6216.78"/>
  </r>
  <r>
    <s v="ORD-1736"/>
    <x v="188"/>
    <s v="CUST-1105"/>
    <s v="Rahul Verma"/>
    <x v="1"/>
    <x v="3"/>
    <s v="Udaipur"/>
    <x v="2"/>
    <s v="Organizers"/>
    <x v="14"/>
    <n v="1"/>
    <n v="798.7"/>
    <n v="0"/>
    <n v="168.48"/>
  </r>
  <r>
    <s v="ORD-1275"/>
    <x v="188"/>
    <s v="CUST-1185"/>
    <s v="Pooja Rao"/>
    <x v="2"/>
    <x v="12"/>
    <s v="New Delhi"/>
    <x v="2"/>
    <s v="Paper"/>
    <x v="25"/>
    <n v="6"/>
    <n v="3241.65"/>
    <n v="0.05"/>
    <n v="638.66999999999996"/>
  </r>
  <r>
    <s v="ORD-1508"/>
    <x v="188"/>
    <s v="CUST-1150"/>
    <s v="Pooja Patel"/>
    <x v="0"/>
    <x v="0"/>
    <s v="Kolkata"/>
    <x v="0"/>
    <s v="Tables"/>
    <x v="16"/>
    <n v="4"/>
    <n v="88803.43"/>
    <n v="0.05"/>
    <n v="7007.84"/>
  </r>
  <r>
    <s v="ORD-1584"/>
    <x v="188"/>
    <s v="CUST-1210"/>
    <s v="Kavya Verma"/>
    <x v="2"/>
    <x v="6"/>
    <s v="Gurugram"/>
    <x v="2"/>
    <s v="Paper"/>
    <x v="25"/>
    <n v="3"/>
    <n v="1498.24"/>
    <n v="0.15"/>
    <n v="175.39"/>
  </r>
  <r>
    <s v="ORD-1745"/>
    <x v="189"/>
    <s v="CUST-1208"/>
    <s v="Pooja Verma"/>
    <x v="0"/>
    <x v="0"/>
    <s v="Kolkata"/>
    <x v="1"/>
    <s v="Accessories"/>
    <x v="24"/>
    <n v="1"/>
    <n v="1502.34"/>
    <n v="0"/>
    <n v="248.41"/>
  </r>
  <r>
    <s v="ORD-1298"/>
    <x v="189"/>
    <s v="CUST-1129"/>
    <s v="Rahul Rao"/>
    <x v="1"/>
    <x v="3"/>
    <s v="Jaipur"/>
    <x v="0"/>
    <s v="Chairs"/>
    <x v="19"/>
    <n v="7"/>
    <n v="83880.33"/>
    <n v="0"/>
    <n v="19030.759999999998"/>
  </r>
  <r>
    <s v="ORD-1317"/>
    <x v="189"/>
    <s v="CUST-1132"/>
    <s v="Sneha Gupta"/>
    <x v="2"/>
    <x v="12"/>
    <s v="New Delhi"/>
    <x v="0"/>
    <s v="Chairs"/>
    <x v="19"/>
    <n v="6"/>
    <n v="73097.89"/>
    <n v="0"/>
    <n v="7867.84"/>
  </r>
  <r>
    <s v="ORD-1792"/>
    <x v="189"/>
    <s v="CUST-1062"/>
    <s v="Kiran Nair"/>
    <x v="3"/>
    <x v="9"/>
    <s v="Chennai"/>
    <x v="1"/>
    <s v="Laptops"/>
    <x v="15"/>
    <n v="3"/>
    <n v="132922.53"/>
    <n v="0.05"/>
    <n v="22658.81"/>
  </r>
  <r>
    <s v="ORD-1993"/>
    <x v="190"/>
    <s v="CUST-1212"/>
    <s v="Varun Das"/>
    <x v="3"/>
    <x v="11"/>
    <s v="Kochi"/>
    <x v="0"/>
    <s v="Chairs"/>
    <x v="19"/>
    <n v="1"/>
    <n v="10499.85"/>
    <n v="0.05"/>
    <n v="732.48"/>
  </r>
  <r>
    <s v="ORD-1813"/>
    <x v="191"/>
    <s v="CUST-1046"/>
    <s v="Manoj Verma"/>
    <x v="1"/>
    <x v="13"/>
    <s v="Ahmedabad"/>
    <x v="1"/>
    <s v="Accessories"/>
    <x v="24"/>
    <n v="2"/>
    <n v="2842.42"/>
    <n v="0"/>
    <n v="505.03"/>
  </r>
  <r>
    <s v="ORD-1408"/>
    <x v="191"/>
    <s v="CUST-1196"/>
    <s v="Sanjay Reddy"/>
    <x v="3"/>
    <x v="5"/>
    <s v="Warangal"/>
    <x v="2"/>
    <s v="Paper"/>
    <x v="7"/>
    <n v="4"/>
    <n v="1471.79"/>
    <n v="0"/>
    <n v="307.22000000000003"/>
  </r>
  <r>
    <s v="ORD-1113"/>
    <x v="191"/>
    <s v="CUST-1050"/>
    <s v="Nisha Patel"/>
    <x v="3"/>
    <x v="9"/>
    <s v="Coimbatore"/>
    <x v="2"/>
    <s v="Paper"/>
    <x v="7"/>
    <n v="2"/>
    <n v="617.96"/>
    <n v="0.05"/>
    <n v="39.21"/>
  </r>
  <r>
    <s v="ORD-1198"/>
    <x v="191"/>
    <s v="CUST-1042"/>
    <s v="Asha Rao"/>
    <x v="3"/>
    <x v="4"/>
    <s v="Mysuru"/>
    <x v="2"/>
    <s v="Stationery"/>
    <x v="26"/>
    <n v="7"/>
    <n v="1078.81"/>
    <n v="0.1"/>
    <n v="217.33"/>
  </r>
  <r>
    <s v="ORD-1558"/>
    <x v="191"/>
    <s v="CUST-1012"/>
    <s v="Kiran Nair"/>
    <x v="1"/>
    <x v="1"/>
    <s v="Mumbai"/>
    <x v="2"/>
    <s v="Stationery"/>
    <x v="22"/>
    <n v="4"/>
    <n v="873.59"/>
    <n v="0.15"/>
    <n v="122.84"/>
  </r>
  <r>
    <s v="ORD-1098"/>
    <x v="191"/>
    <s v="CUST-1161"/>
    <s v="Pooja Verma"/>
    <x v="0"/>
    <x v="16"/>
    <s v="Patna"/>
    <x v="1"/>
    <s v="Accessories"/>
    <x v="8"/>
    <n v="4"/>
    <n v="9437.73"/>
    <n v="0.1"/>
    <n v="1292.1400000000001"/>
  </r>
  <r>
    <s v="ORD-1351"/>
    <x v="192"/>
    <s v="CUST-1067"/>
    <s v="Arjun Kumar"/>
    <x v="0"/>
    <x v="16"/>
    <s v="Patna"/>
    <x v="1"/>
    <s v="Laptops"/>
    <x v="9"/>
    <n v="2"/>
    <n v="101541.38"/>
    <n v="0.2"/>
    <n v="7021.31"/>
  </r>
  <r>
    <s v="ORD-1395"/>
    <x v="192"/>
    <s v="CUST-1240"/>
    <s v="Vikram Kumar"/>
    <x v="3"/>
    <x v="4"/>
    <s v="Mysuru"/>
    <x v="2"/>
    <s v="Organizers"/>
    <x v="2"/>
    <n v="7"/>
    <n v="3044.02"/>
    <n v="0.1"/>
    <n v="168.9"/>
  </r>
  <r>
    <s v="ORD-1505"/>
    <x v="192"/>
    <s v="CUST-1109"/>
    <s v="Meera Patel"/>
    <x v="3"/>
    <x v="10"/>
    <s v="Tirupati"/>
    <x v="1"/>
    <s v="Phones"/>
    <x v="18"/>
    <n v="4"/>
    <n v="167107.95000000001"/>
    <n v="0.05"/>
    <n v="25695.86"/>
  </r>
  <r>
    <s v="ORD-1336"/>
    <x v="192"/>
    <s v="CUST-1188"/>
    <s v="Vikram Nair"/>
    <x v="2"/>
    <x v="14"/>
    <s v="Noida"/>
    <x v="1"/>
    <s v="Phones"/>
    <x v="11"/>
    <n v="5"/>
    <n v="125850.19"/>
    <n v="0.1"/>
    <n v="15979.52"/>
  </r>
  <r>
    <s v="ORD-1313"/>
    <x v="192"/>
    <s v="CUST-1192"/>
    <s v="Meera Das"/>
    <x v="2"/>
    <x v="12"/>
    <s v="New Delhi"/>
    <x v="0"/>
    <s v="Chairs"/>
    <x v="0"/>
    <n v="6"/>
    <n v="33245.51"/>
    <n v="0.15"/>
    <n v="1837.09"/>
  </r>
  <r>
    <s v="ORD-1824"/>
    <x v="192"/>
    <s v="CUST-1172"/>
    <s v="Kavya Rao"/>
    <x v="0"/>
    <x v="0"/>
    <s v="Kolkata"/>
    <x v="0"/>
    <s v="Tables"/>
    <x v="5"/>
    <n v="4"/>
    <n v="32156.46"/>
    <n v="0.1"/>
    <n v="4045.02"/>
  </r>
  <r>
    <s v="ORD-1393"/>
    <x v="193"/>
    <s v="CUST-1109"/>
    <s v="Asha Nair"/>
    <x v="2"/>
    <x v="2"/>
    <s v="Ludhiana"/>
    <x v="1"/>
    <s v="Accessories"/>
    <x v="4"/>
    <n v="3"/>
    <n v="2494.7800000000002"/>
    <n v="0.1"/>
    <n v="153.47999999999999"/>
  </r>
  <r>
    <s v="ORD-1819"/>
    <x v="194"/>
    <s v="CUST-1111"/>
    <s v="Rahul Das"/>
    <x v="0"/>
    <x v="7"/>
    <s v="Ranchi"/>
    <x v="0"/>
    <s v="Chairs"/>
    <x v="6"/>
    <n v="6"/>
    <n v="15950.83"/>
    <n v="0.05"/>
    <n v="1055.44"/>
  </r>
  <r>
    <s v="ORD-1174"/>
    <x v="194"/>
    <s v="CUST-1172"/>
    <s v="Manoj Sharma"/>
    <x v="0"/>
    <x v="16"/>
    <s v="Patna"/>
    <x v="1"/>
    <s v="Accessories"/>
    <x v="24"/>
    <n v="4"/>
    <n v="5393.28"/>
    <n v="0.05"/>
    <n v="535.46"/>
  </r>
  <r>
    <s v="ORD-1223"/>
    <x v="194"/>
    <s v="CUST-1062"/>
    <s v="Sanjay Nair"/>
    <x v="1"/>
    <x v="3"/>
    <s v="Udaipur"/>
    <x v="1"/>
    <s v="Laptops"/>
    <x v="10"/>
    <n v="3"/>
    <n v="225045.85"/>
    <n v="0.05"/>
    <n v="13024.09"/>
  </r>
  <r>
    <s v="ORD-1941"/>
    <x v="195"/>
    <s v="CUST-1212"/>
    <s v="Kiran Patel"/>
    <x v="1"/>
    <x v="1"/>
    <s v="Mumbai"/>
    <x v="1"/>
    <s v="Accessories"/>
    <x v="4"/>
    <n v="2"/>
    <n v="1698.66"/>
    <n v="0"/>
    <n v="301.83"/>
  </r>
  <r>
    <s v="ORD-1302"/>
    <x v="195"/>
    <s v="CUST-1201"/>
    <s v="Varun Singh"/>
    <x v="1"/>
    <x v="1"/>
    <s v="Pune"/>
    <x v="2"/>
    <s v="Organizers"/>
    <x v="23"/>
    <n v="4"/>
    <n v="2297.8200000000002"/>
    <n v="0.15"/>
    <n v="250.6"/>
  </r>
  <r>
    <s v="ORD-1816"/>
    <x v="195"/>
    <s v="CUST-1108"/>
    <s v="Arjun Rao"/>
    <x v="3"/>
    <x v="5"/>
    <s v="Hyderabad"/>
    <x v="1"/>
    <s v="Accessories"/>
    <x v="4"/>
    <n v="4"/>
    <n v="3489.77"/>
    <n v="0.05"/>
    <n v="667.22"/>
  </r>
  <r>
    <s v="ORD-1511"/>
    <x v="195"/>
    <s v="CUST-1086"/>
    <s v="Isha Kumar"/>
    <x v="2"/>
    <x v="2"/>
    <s v="Amritsar"/>
    <x v="1"/>
    <s v="Accessories"/>
    <x v="24"/>
    <n v="6"/>
    <n v="7601.44"/>
    <n v="0.15"/>
    <n v="525.76"/>
  </r>
  <r>
    <s v="ORD-1893"/>
    <x v="196"/>
    <s v="CUST-1119"/>
    <s v="Isha Gupta"/>
    <x v="3"/>
    <x v="9"/>
    <s v="Chennai"/>
    <x v="1"/>
    <s v="Accessories"/>
    <x v="8"/>
    <n v="4"/>
    <n v="9247.89"/>
    <n v="0.05"/>
    <n v="641.11"/>
  </r>
  <r>
    <s v="ORD-1434"/>
    <x v="196"/>
    <s v="CUST-1134"/>
    <s v="Sanjay Gupta"/>
    <x v="1"/>
    <x v="1"/>
    <s v="Nagpur"/>
    <x v="2"/>
    <s v="Organizers"/>
    <x v="14"/>
    <n v="2"/>
    <n v="1202.93"/>
    <n v="0.15"/>
    <n v="185.56"/>
  </r>
  <r>
    <s v="ORD-1924"/>
    <x v="196"/>
    <s v="CUST-1025"/>
    <s v="Aditya Sharma"/>
    <x v="3"/>
    <x v="11"/>
    <s v="Kochi"/>
    <x v="1"/>
    <s v="Laptops"/>
    <x v="9"/>
    <n v="1"/>
    <n v="56165.760000000002"/>
    <n v="0.05"/>
    <n v="8865.08"/>
  </r>
  <r>
    <s v="ORD-1720"/>
    <x v="197"/>
    <s v="CUST-1069"/>
    <s v="Arjun Sharma"/>
    <x v="2"/>
    <x v="12"/>
    <s v="New Delhi"/>
    <x v="1"/>
    <s v="Phones"/>
    <x v="1"/>
    <n v="7"/>
    <n v="122424.91"/>
    <n v="0.05"/>
    <n v="6966.6"/>
  </r>
  <r>
    <s v="ORD-1740"/>
    <x v="197"/>
    <s v="CUST-1092"/>
    <s v="Rahul Rao"/>
    <x v="0"/>
    <x v="0"/>
    <s v="Kolkata"/>
    <x v="0"/>
    <s v="Tables"/>
    <x v="12"/>
    <n v="4"/>
    <n v="21724.87"/>
    <n v="0.05"/>
    <n v="1453.13"/>
  </r>
  <r>
    <s v="ORD-1094"/>
    <x v="197"/>
    <s v="CUST-1083"/>
    <s v="Kavya Singh"/>
    <x v="3"/>
    <x v="9"/>
    <s v="Chennai"/>
    <x v="2"/>
    <s v="Stationery"/>
    <x v="22"/>
    <n v="1"/>
    <n v="225.54"/>
    <n v="0.05"/>
    <n v="33.28"/>
  </r>
  <r>
    <s v="ORD-1515"/>
    <x v="197"/>
    <s v="CUST-1069"/>
    <s v="Asha Das"/>
    <x v="3"/>
    <x v="4"/>
    <s v="Bengaluru"/>
    <x v="2"/>
    <s v="Paper"/>
    <x v="17"/>
    <n v="3"/>
    <n v="1109.6600000000001"/>
    <n v="0.15"/>
    <n v="122.44"/>
  </r>
  <r>
    <s v="ORD-1172"/>
    <x v="198"/>
    <s v="CUST-1122"/>
    <s v="Divya Verma"/>
    <x v="3"/>
    <x v="10"/>
    <s v="Vijayawada"/>
    <x v="0"/>
    <s v="Tables"/>
    <x v="16"/>
    <n v="1"/>
    <n v="20099.830000000002"/>
    <n v="0.05"/>
    <n v="1255.55"/>
  </r>
  <r>
    <s v="ORD-1528"/>
    <x v="198"/>
    <s v="CUST-1139"/>
    <s v="Kavya Gupta"/>
    <x v="0"/>
    <x v="16"/>
    <s v="Patna"/>
    <x v="1"/>
    <s v="Laptops"/>
    <x v="10"/>
    <n v="6"/>
    <n v="426103.48"/>
    <n v="0.1"/>
    <n v="27569.27"/>
  </r>
  <r>
    <s v="ORD-1277"/>
    <x v="198"/>
    <s v="CUST-1051"/>
    <s v="Ananya Sharma"/>
    <x v="3"/>
    <x v="5"/>
    <s v="Warangal"/>
    <x v="1"/>
    <s v="Accessories"/>
    <x v="4"/>
    <n v="3"/>
    <n v="2149.04"/>
    <n v="0.15"/>
    <n v="263.24"/>
  </r>
  <r>
    <s v="ORD-1400"/>
    <x v="198"/>
    <s v="CUST-1179"/>
    <s v="Sneha Verma"/>
    <x v="1"/>
    <x v="13"/>
    <s v="Ahmedabad"/>
    <x v="0"/>
    <s v="Chairs"/>
    <x v="6"/>
    <n v="6"/>
    <n v="16828.330000000002"/>
    <n v="0.05"/>
    <n v="1190.21"/>
  </r>
  <r>
    <s v="ORD-1538"/>
    <x v="198"/>
    <s v="CUST-1080"/>
    <s v="Manoj Sharma"/>
    <x v="3"/>
    <x v="4"/>
    <s v="Mysuru"/>
    <x v="0"/>
    <s v="Chairs"/>
    <x v="0"/>
    <n v="4"/>
    <n v="25183.54"/>
    <n v="0"/>
    <n v="1932.66"/>
  </r>
  <r>
    <s v="ORD-1807"/>
    <x v="198"/>
    <s v="CUST-1064"/>
    <s v="Varun Nair"/>
    <x v="3"/>
    <x v="10"/>
    <s v="Visakhapatnam"/>
    <x v="0"/>
    <s v="Storage"/>
    <x v="13"/>
    <n v="5"/>
    <n v="40460.74"/>
    <n v="0.1"/>
    <n v="2744.99"/>
  </r>
  <r>
    <s v="ORD-1526"/>
    <x v="199"/>
    <s v="CUST-1189"/>
    <s v="Kiran Verma"/>
    <x v="0"/>
    <x v="15"/>
    <s v="Cuttack"/>
    <x v="1"/>
    <s v="Laptops"/>
    <x v="15"/>
    <n v="1"/>
    <n v="45580.91"/>
    <n v="0.05"/>
    <n v="10328.09"/>
  </r>
  <r>
    <s v="ORD-1056"/>
    <x v="199"/>
    <s v="CUST-1045"/>
    <s v="Rohan Verma"/>
    <x v="3"/>
    <x v="11"/>
    <s v="Thiruvananthapuram"/>
    <x v="1"/>
    <s v="Phones"/>
    <x v="1"/>
    <n v="1"/>
    <n v="18178.580000000002"/>
    <n v="0.05"/>
    <n v="1330.21"/>
  </r>
  <r>
    <s v="ORD-1235"/>
    <x v="200"/>
    <s v="CUST-1082"/>
    <s v="Manoj Patel"/>
    <x v="1"/>
    <x v="13"/>
    <s v="Surat"/>
    <x v="0"/>
    <s v="Storage"/>
    <x v="20"/>
    <n v="1"/>
    <n v="4921.54"/>
    <n v="0.05"/>
    <n v="1038.45"/>
  </r>
  <r>
    <s v="ORD-1341"/>
    <x v="200"/>
    <s v="CUST-1109"/>
    <s v="Nisha Gupta"/>
    <x v="3"/>
    <x v="4"/>
    <s v="Bengaluru"/>
    <x v="1"/>
    <s v="Phones"/>
    <x v="1"/>
    <n v="7"/>
    <n v="121846.01"/>
    <n v="0"/>
    <n v="12510.57"/>
  </r>
  <r>
    <s v="ORD-1593"/>
    <x v="200"/>
    <s v="CUST-1092"/>
    <s v="Kavya Reddy"/>
    <x v="3"/>
    <x v="5"/>
    <s v="Warangal"/>
    <x v="1"/>
    <s v="Accessories"/>
    <x v="8"/>
    <n v="3"/>
    <n v="6255.01"/>
    <n v="0.15"/>
    <n v="686.57"/>
  </r>
  <r>
    <s v="ORD-1608"/>
    <x v="200"/>
    <s v="CUST-1187"/>
    <s v="Sanjay Patel"/>
    <x v="1"/>
    <x v="3"/>
    <s v="Udaipur"/>
    <x v="0"/>
    <s v="Chairs"/>
    <x v="6"/>
    <n v="2"/>
    <n v="5884.52"/>
    <n v="0.05"/>
    <n v="1196.6400000000001"/>
  </r>
  <r>
    <s v="ORD-1563"/>
    <x v="201"/>
    <s v="CUST-1188"/>
    <s v="Aditya Das"/>
    <x v="0"/>
    <x v="0"/>
    <s v="Kolkata"/>
    <x v="1"/>
    <s v="Phones"/>
    <x v="11"/>
    <n v="7"/>
    <n v="180496.72"/>
    <n v="0.1"/>
    <n v="7771.19"/>
  </r>
  <r>
    <s v="ORD-1477"/>
    <x v="201"/>
    <s v="CUST-1057"/>
    <s v="Asha Verma"/>
    <x v="2"/>
    <x v="12"/>
    <s v="New Delhi"/>
    <x v="0"/>
    <s v="Chairs"/>
    <x v="0"/>
    <n v="6"/>
    <n v="36904.089999999997"/>
    <n v="0.05"/>
    <n v="7046.47"/>
  </r>
  <r>
    <s v="ORD-1310"/>
    <x v="201"/>
    <s v="CUST-1116"/>
    <s v="Sanjay Reddy"/>
    <x v="0"/>
    <x v="16"/>
    <s v="Patna"/>
    <x v="1"/>
    <s v="Laptops"/>
    <x v="9"/>
    <n v="6"/>
    <n v="355761.33"/>
    <n v="0.05"/>
    <n v="79780.14"/>
  </r>
  <r>
    <s v="ORD-1269"/>
    <x v="202"/>
    <s v="CUST-1068"/>
    <s v="Arjun Gupta"/>
    <x v="3"/>
    <x v="9"/>
    <s v="Chennai"/>
    <x v="2"/>
    <s v="Stationery"/>
    <x v="22"/>
    <n v="1"/>
    <n v="264.67"/>
    <n v="0"/>
    <n v="29.34"/>
  </r>
  <r>
    <s v="ORD-1751"/>
    <x v="202"/>
    <s v="CUST-1017"/>
    <s v="Asha Patel"/>
    <x v="0"/>
    <x v="16"/>
    <s v="Patna"/>
    <x v="1"/>
    <s v="Accessories"/>
    <x v="4"/>
    <n v="2"/>
    <n v="1863.44"/>
    <n v="0"/>
    <n v="342.33"/>
  </r>
  <r>
    <s v="ORD-1365"/>
    <x v="202"/>
    <s v="CUST-1167"/>
    <s v="Priya Das"/>
    <x v="0"/>
    <x v="16"/>
    <s v="Patna"/>
    <x v="1"/>
    <s v="Phones"/>
    <x v="1"/>
    <n v="3"/>
    <n v="52400.1"/>
    <n v="0"/>
    <n v="3550.08"/>
  </r>
  <r>
    <s v="ORD-1747"/>
    <x v="202"/>
    <s v="CUST-1024"/>
    <s v="Asha Das"/>
    <x v="3"/>
    <x v="9"/>
    <s v="Coimbatore"/>
    <x v="0"/>
    <s v="Tables"/>
    <x v="16"/>
    <n v="4"/>
    <n v="67517.14"/>
    <n v="0.2"/>
    <n v="10626.89"/>
  </r>
  <r>
    <s v="ORD-1142"/>
    <x v="202"/>
    <s v="CUST-1154"/>
    <s v="Meera Singh"/>
    <x v="3"/>
    <x v="5"/>
    <s v="Warangal"/>
    <x v="0"/>
    <s v="Storage"/>
    <x v="3"/>
    <n v="2"/>
    <n v="11822.12"/>
    <n v="0.2"/>
    <n v="2181.92"/>
  </r>
  <r>
    <s v="ORD-1590"/>
    <x v="203"/>
    <s v="CUST-1002"/>
    <s v="Rohan Reddy"/>
    <x v="3"/>
    <x v="10"/>
    <s v="Visakhapatnam"/>
    <x v="2"/>
    <s v="Paper"/>
    <x v="25"/>
    <n v="6"/>
    <n v="3196.02"/>
    <n v="0"/>
    <n v="558.91999999999996"/>
  </r>
  <r>
    <s v="ORD-1672"/>
    <x v="204"/>
    <s v="CUST-1213"/>
    <s v="Priya Kumar"/>
    <x v="0"/>
    <x v="16"/>
    <s v="Patna"/>
    <x v="0"/>
    <s v="Tables"/>
    <x v="5"/>
    <n v="5"/>
    <n v="46027.09"/>
    <n v="0"/>
    <n v="8193.43"/>
  </r>
  <r>
    <s v="ORD-1472"/>
    <x v="204"/>
    <s v="CUST-1115"/>
    <s v="Aarav Das"/>
    <x v="2"/>
    <x v="14"/>
    <s v="Noida"/>
    <x v="0"/>
    <s v="Tables"/>
    <x v="5"/>
    <n v="1"/>
    <n v="7559.98"/>
    <n v="0.15"/>
    <n v="1304.4000000000001"/>
  </r>
  <r>
    <s v="ORD-1024"/>
    <x v="204"/>
    <s v="CUST-1054"/>
    <s v="Rahul Gupta"/>
    <x v="2"/>
    <x v="14"/>
    <s v="Lucknow"/>
    <x v="1"/>
    <s v="Phones"/>
    <x v="1"/>
    <n v="7"/>
    <n v="119418.08"/>
    <n v="0.05"/>
    <n v="13981.9"/>
  </r>
  <r>
    <s v="ORD-1135"/>
    <x v="204"/>
    <s v="CUST-1184"/>
    <s v="Varun Reddy"/>
    <x v="3"/>
    <x v="5"/>
    <s v="Warangal"/>
    <x v="2"/>
    <s v="Organizers"/>
    <x v="14"/>
    <n v="6"/>
    <n v="3680.13"/>
    <n v="0.2"/>
    <n v="648.53"/>
  </r>
  <r>
    <s v="ORD-1329"/>
    <x v="204"/>
    <s v="CUST-1119"/>
    <s v="Kavya Singh"/>
    <x v="3"/>
    <x v="11"/>
    <s v="Kochi"/>
    <x v="1"/>
    <s v="Accessories"/>
    <x v="4"/>
    <n v="3"/>
    <n v="2577.41"/>
    <n v="0"/>
    <n v="475.32"/>
  </r>
  <r>
    <s v="ORD-1260"/>
    <x v="205"/>
    <s v="CUST-1061"/>
    <s v="Nisha Singh"/>
    <x v="2"/>
    <x v="2"/>
    <s v="Amritsar"/>
    <x v="2"/>
    <s v="Stationery"/>
    <x v="21"/>
    <n v="6"/>
    <n v="1766.19"/>
    <n v="0.05"/>
    <n v="330.27"/>
  </r>
  <r>
    <s v="ORD-1665"/>
    <x v="206"/>
    <s v="CUST-1113"/>
    <s v="Sanjay Das"/>
    <x v="1"/>
    <x v="3"/>
    <s v="Jaipur"/>
    <x v="0"/>
    <s v="Storage"/>
    <x v="3"/>
    <n v="2"/>
    <n v="11058.96"/>
    <n v="0.15"/>
    <n v="2165.4499999999998"/>
  </r>
  <r>
    <s v="ORD-1703"/>
    <x v="206"/>
    <s v="CUST-1226"/>
    <s v="Aarav Gupta"/>
    <x v="3"/>
    <x v="10"/>
    <s v="Tirupati"/>
    <x v="1"/>
    <s v="Accessories"/>
    <x v="24"/>
    <n v="4"/>
    <n v="5941.89"/>
    <n v="0"/>
    <n v="887.35"/>
  </r>
  <r>
    <s v="ORD-1129"/>
    <x v="206"/>
    <s v="CUST-1099"/>
    <s v="Kavya Patel"/>
    <x v="2"/>
    <x v="6"/>
    <s v="Faridabad"/>
    <x v="2"/>
    <s v="Paper"/>
    <x v="25"/>
    <n v="5"/>
    <n v="2804.11"/>
    <n v="0"/>
    <n v="487.02"/>
  </r>
  <r>
    <s v="ORD-1520"/>
    <x v="206"/>
    <s v="CUST-1016"/>
    <s v="Sneha Kumar"/>
    <x v="3"/>
    <x v="11"/>
    <s v="Kochi"/>
    <x v="0"/>
    <s v="Storage"/>
    <x v="13"/>
    <n v="7"/>
    <n v="61324.45"/>
    <n v="0"/>
    <n v="12455.12"/>
  </r>
  <r>
    <s v="ORD-1069"/>
    <x v="206"/>
    <s v="CUST-1239"/>
    <s v="Priya Singh"/>
    <x v="1"/>
    <x v="3"/>
    <s v="Udaipur"/>
    <x v="2"/>
    <s v="Stationery"/>
    <x v="22"/>
    <n v="1"/>
    <n v="225.1"/>
    <n v="0.1"/>
    <n v="18.41"/>
  </r>
  <r>
    <s v="ORD-1972"/>
    <x v="206"/>
    <s v="CUST-1038"/>
    <s v="Meera Nair"/>
    <x v="2"/>
    <x v="14"/>
    <s v="Noida"/>
    <x v="1"/>
    <s v="Laptops"/>
    <x v="10"/>
    <n v="1"/>
    <n v="73190.960000000006"/>
    <n v="0.05"/>
    <n v="11909.07"/>
  </r>
  <r>
    <s v="ORD-1103"/>
    <x v="207"/>
    <s v="CUST-1057"/>
    <s v="Rohan Sharma"/>
    <x v="3"/>
    <x v="4"/>
    <s v="Mysuru"/>
    <x v="1"/>
    <s v="Phones"/>
    <x v="18"/>
    <n v="6"/>
    <n v="227260.44"/>
    <n v="0.1"/>
    <n v="18526.400000000001"/>
  </r>
  <r>
    <s v="ORD-1707"/>
    <x v="207"/>
    <s v="CUST-1225"/>
    <s v="Divya Gupta"/>
    <x v="2"/>
    <x v="6"/>
    <s v="Faridabad"/>
    <x v="1"/>
    <s v="Phones"/>
    <x v="11"/>
    <n v="3"/>
    <n v="71835.08"/>
    <n v="0.2"/>
    <n v="11643.62"/>
  </r>
  <r>
    <s v="ORD-1173"/>
    <x v="207"/>
    <s v="CUST-1011"/>
    <s v="Isha Sharma"/>
    <x v="2"/>
    <x v="14"/>
    <s v="Lucknow"/>
    <x v="2"/>
    <s v="Paper"/>
    <x v="7"/>
    <n v="5"/>
    <n v="1404.65"/>
    <n v="0.2"/>
    <n v="183.97"/>
  </r>
  <r>
    <s v="ORD-1896"/>
    <x v="208"/>
    <s v="CUST-1186"/>
    <s v="Pooja Rao"/>
    <x v="0"/>
    <x v="16"/>
    <s v="Patna"/>
    <x v="1"/>
    <s v="Accessories"/>
    <x v="24"/>
    <n v="6"/>
    <n v="7656.38"/>
    <n v="0.1"/>
    <n v="653.91999999999996"/>
  </r>
  <r>
    <s v="ORD-1851"/>
    <x v="208"/>
    <s v="CUST-1193"/>
    <s v="Varun Verma"/>
    <x v="2"/>
    <x v="14"/>
    <s v="Lucknow"/>
    <x v="2"/>
    <s v="Organizers"/>
    <x v="14"/>
    <n v="7"/>
    <n v="4338.09"/>
    <n v="0.2"/>
    <n v="669.17"/>
  </r>
  <r>
    <s v="ORD-1099"/>
    <x v="208"/>
    <s v="CUST-1123"/>
    <s v="Vikram Patel"/>
    <x v="0"/>
    <x v="15"/>
    <s v="Bhubaneswar"/>
    <x v="0"/>
    <s v="Tables"/>
    <x v="5"/>
    <n v="3"/>
    <n v="24337.16"/>
    <n v="0.15"/>
    <n v="4843.88"/>
  </r>
  <r>
    <s v="ORD-1344"/>
    <x v="208"/>
    <s v="CUST-1075"/>
    <s v="Priya Nair"/>
    <x v="1"/>
    <x v="8"/>
    <s v="Panaji"/>
    <x v="1"/>
    <s v="Laptops"/>
    <x v="15"/>
    <n v="1"/>
    <n v="45069.99"/>
    <n v="0.05"/>
    <n v="3557.03"/>
  </r>
  <r>
    <s v="ORD-1170"/>
    <x v="209"/>
    <s v="CUST-1139"/>
    <s v="Asha Kumar"/>
    <x v="3"/>
    <x v="9"/>
    <s v="Chennai"/>
    <x v="1"/>
    <s v="Accessories"/>
    <x v="4"/>
    <n v="5"/>
    <n v="3977.16"/>
    <n v="0.1"/>
    <n v="489.79"/>
  </r>
  <r>
    <s v="ORD-1691"/>
    <x v="209"/>
    <s v="CUST-1147"/>
    <s v="Sanjay Verma"/>
    <x v="2"/>
    <x v="12"/>
    <s v="New Delhi"/>
    <x v="2"/>
    <s v="Organizers"/>
    <x v="14"/>
    <n v="5"/>
    <n v="3112.3"/>
    <n v="0.1"/>
    <n v="215.34"/>
  </r>
  <r>
    <s v="ORD-1722"/>
    <x v="209"/>
    <s v="CUST-1163"/>
    <s v="Varun Gupta"/>
    <x v="1"/>
    <x v="13"/>
    <s v="Surat"/>
    <x v="2"/>
    <s v="Stationery"/>
    <x v="26"/>
    <n v="5"/>
    <n v="913.76"/>
    <n v="0.05"/>
    <n v="74.05"/>
  </r>
  <r>
    <s v="ORD-1046"/>
    <x v="209"/>
    <s v="CUST-1192"/>
    <s v="Sanjay Nair"/>
    <x v="1"/>
    <x v="3"/>
    <s v="Udaipur"/>
    <x v="1"/>
    <s v="Laptops"/>
    <x v="9"/>
    <n v="2"/>
    <n v="119356.21"/>
    <n v="0"/>
    <n v="14903.07"/>
  </r>
  <r>
    <s v="ORD-1128"/>
    <x v="209"/>
    <s v="CUST-1066"/>
    <s v="Varun Reddy"/>
    <x v="2"/>
    <x v="2"/>
    <s v="Ludhiana"/>
    <x v="0"/>
    <s v="Tables"/>
    <x v="12"/>
    <n v="3"/>
    <n v="14704.15"/>
    <n v="0.1"/>
    <n v="2507.7399999999998"/>
  </r>
  <r>
    <s v="ORD-1445"/>
    <x v="209"/>
    <s v="CUST-1188"/>
    <s v="Sneha Reddy"/>
    <x v="2"/>
    <x v="14"/>
    <s v="Noida"/>
    <x v="1"/>
    <s v="Accessories"/>
    <x v="8"/>
    <n v="3"/>
    <n v="6986.22"/>
    <n v="0.1"/>
    <n v="418.53"/>
  </r>
  <r>
    <s v="ORD-1614"/>
    <x v="210"/>
    <s v="CUST-1194"/>
    <s v="Rohan Gupta"/>
    <x v="0"/>
    <x v="16"/>
    <s v="Patna"/>
    <x v="1"/>
    <s v="Phones"/>
    <x v="1"/>
    <n v="4"/>
    <n v="60445.63"/>
    <n v="0.1"/>
    <n v="6328.88"/>
  </r>
  <r>
    <s v="ORD-1044"/>
    <x v="210"/>
    <s v="CUST-1164"/>
    <s v="Rahul Kumar"/>
    <x v="1"/>
    <x v="13"/>
    <s v="Surat"/>
    <x v="2"/>
    <s v="Stationery"/>
    <x v="26"/>
    <n v="7"/>
    <n v="1075.75"/>
    <n v="0.15"/>
    <n v="224.55"/>
  </r>
  <r>
    <s v="ORD-1612"/>
    <x v="210"/>
    <s v="CUST-1167"/>
    <s v="Pooja Sharma"/>
    <x v="3"/>
    <x v="5"/>
    <s v="Warangal"/>
    <x v="1"/>
    <s v="Accessories"/>
    <x v="8"/>
    <n v="4"/>
    <n v="9064.59"/>
    <n v="0.15"/>
    <n v="1666.19"/>
  </r>
  <r>
    <s v="ORD-1600"/>
    <x v="210"/>
    <s v="CUST-1240"/>
    <s v="Aditya Rao"/>
    <x v="0"/>
    <x v="7"/>
    <s v="Ranchi"/>
    <x v="0"/>
    <s v="Storage"/>
    <x v="13"/>
    <n v="3"/>
    <n v="23750.87"/>
    <n v="0.1"/>
    <n v="3435.84"/>
  </r>
  <r>
    <s v="ORD-1661"/>
    <x v="210"/>
    <s v="CUST-1063"/>
    <s v="Asha Nair"/>
    <x v="3"/>
    <x v="10"/>
    <s v="Visakhapatnam"/>
    <x v="1"/>
    <s v="Laptops"/>
    <x v="15"/>
    <n v="5"/>
    <n v="225245.26"/>
    <n v="0.05"/>
    <n v="22005.13"/>
  </r>
  <r>
    <s v="ORD-1406"/>
    <x v="210"/>
    <s v="CUST-1012"/>
    <s v="Vikram Nair"/>
    <x v="2"/>
    <x v="14"/>
    <s v="Noida"/>
    <x v="0"/>
    <s v="Tables"/>
    <x v="16"/>
    <n v="6"/>
    <n v="108510.35"/>
    <n v="0.2"/>
    <n v="11570.46"/>
  </r>
  <r>
    <s v="ORD-1396"/>
    <x v="211"/>
    <s v="CUST-1113"/>
    <s v="Isha Sharma"/>
    <x v="2"/>
    <x v="6"/>
    <s v="Gurugram"/>
    <x v="1"/>
    <s v="Laptops"/>
    <x v="9"/>
    <n v="3"/>
    <n v="149352.66"/>
    <n v="0.2"/>
    <n v="10293.620000000001"/>
  </r>
  <r>
    <s v="ORD-1604"/>
    <x v="211"/>
    <s v="CUST-1248"/>
    <s v="Arjun Reddy"/>
    <x v="3"/>
    <x v="4"/>
    <s v="Mysuru"/>
    <x v="2"/>
    <s v="Paper"/>
    <x v="17"/>
    <n v="6"/>
    <n v="2148"/>
    <n v="0.2"/>
    <n v="65.48"/>
  </r>
  <r>
    <s v="ORD-1010"/>
    <x v="212"/>
    <s v="CUST-1237"/>
    <s v="Varun Patel"/>
    <x v="3"/>
    <x v="11"/>
    <s v="Kochi"/>
    <x v="1"/>
    <s v="Accessories"/>
    <x v="4"/>
    <n v="4"/>
    <n v="3341.36"/>
    <n v="0.1"/>
    <n v="217.45"/>
  </r>
  <r>
    <s v="ORD-1942"/>
    <x v="212"/>
    <s v="CUST-1228"/>
    <s v="Priya Das"/>
    <x v="1"/>
    <x v="8"/>
    <s v="Panaji"/>
    <x v="2"/>
    <s v="Stationery"/>
    <x v="26"/>
    <n v="2"/>
    <n v="313.82"/>
    <n v="0.1"/>
    <n v="68.08"/>
  </r>
  <r>
    <s v="ORD-1990"/>
    <x v="212"/>
    <s v="CUST-1222"/>
    <s v="Sneha Patel"/>
    <x v="0"/>
    <x v="15"/>
    <s v="Bhubaneswar"/>
    <x v="0"/>
    <s v="Chairs"/>
    <x v="19"/>
    <n v="4"/>
    <n v="51038.6"/>
    <n v="0"/>
    <n v="10436.459999999999"/>
  </r>
  <r>
    <s v="ORD-1598"/>
    <x v="213"/>
    <s v="CUST-1201"/>
    <s v="Rohan Reddy"/>
    <x v="2"/>
    <x v="12"/>
    <s v="New Delhi"/>
    <x v="2"/>
    <s v="Organizers"/>
    <x v="14"/>
    <n v="3"/>
    <n v="2161.33"/>
    <n v="0.1"/>
    <n v="463.21"/>
  </r>
  <r>
    <s v="ORD-1609"/>
    <x v="213"/>
    <s v="CUST-1104"/>
    <s v="Meera Singh"/>
    <x v="2"/>
    <x v="14"/>
    <s v="Noida"/>
    <x v="0"/>
    <s v="Tables"/>
    <x v="16"/>
    <n v="1"/>
    <n v="21145.32"/>
    <n v="0.1"/>
    <n v="2814.1"/>
  </r>
  <r>
    <s v="ORD-1500"/>
    <x v="214"/>
    <s v="CUST-1040"/>
    <s v="Rahul Nair"/>
    <x v="1"/>
    <x v="8"/>
    <s v="Panaji"/>
    <x v="1"/>
    <s v="Phones"/>
    <x v="18"/>
    <n v="1"/>
    <n v="31207.5"/>
    <n v="0.2"/>
    <n v="3874.02"/>
  </r>
  <r>
    <s v="ORD-1764"/>
    <x v="215"/>
    <s v="CUST-1061"/>
    <s v="Manoj Verma"/>
    <x v="2"/>
    <x v="12"/>
    <s v="New Delhi"/>
    <x v="1"/>
    <s v="Phones"/>
    <x v="1"/>
    <n v="5"/>
    <n v="78250.92"/>
    <n v="0.1"/>
    <n v="4824.07"/>
  </r>
  <r>
    <s v="ORD-1738"/>
    <x v="215"/>
    <s v="CUST-1125"/>
    <s v="Meera Nair"/>
    <x v="1"/>
    <x v="1"/>
    <s v="Pune"/>
    <x v="0"/>
    <s v="Storage"/>
    <x v="3"/>
    <n v="1"/>
    <n v="5863.74"/>
    <n v="0.15"/>
    <n v="481.87"/>
  </r>
  <r>
    <s v="ORD-1732"/>
    <x v="215"/>
    <s v="CUST-1003"/>
    <s v="Asha Nair"/>
    <x v="3"/>
    <x v="9"/>
    <s v="Coimbatore"/>
    <x v="2"/>
    <s v="Stationery"/>
    <x v="26"/>
    <n v="1"/>
    <n v="164.53"/>
    <n v="0.05"/>
    <n v="36.5"/>
  </r>
  <r>
    <s v="ORD-1576"/>
    <x v="216"/>
    <s v="CUST-1191"/>
    <s v="Aditya Sharma"/>
    <x v="3"/>
    <x v="11"/>
    <s v="Thiruvananthapuram"/>
    <x v="0"/>
    <s v="Storage"/>
    <x v="13"/>
    <n v="2"/>
    <n v="14570.69"/>
    <n v="0.1"/>
    <n v="871.52"/>
  </r>
  <r>
    <s v="ORD-1821"/>
    <x v="216"/>
    <s v="CUST-1150"/>
    <s v="Aarav Singh"/>
    <x v="3"/>
    <x v="10"/>
    <s v="Visakhapatnam"/>
    <x v="0"/>
    <s v="Storage"/>
    <x v="13"/>
    <n v="5"/>
    <n v="34698.54"/>
    <n v="0.15"/>
    <n v="2595.6999999999998"/>
  </r>
  <r>
    <s v="ORD-1784"/>
    <x v="216"/>
    <s v="CUST-1041"/>
    <s v="Sneha Nair"/>
    <x v="3"/>
    <x v="5"/>
    <s v="Warangal"/>
    <x v="0"/>
    <s v="Storage"/>
    <x v="3"/>
    <n v="2"/>
    <n v="11989.78"/>
    <n v="0.1"/>
    <n v="1164.28"/>
  </r>
  <r>
    <s v="ORD-1553"/>
    <x v="216"/>
    <s v="CUST-1018"/>
    <s v="Divya Singh"/>
    <x v="2"/>
    <x v="12"/>
    <s v="New Delhi"/>
    <x v="0"/>
    <s v="Chairs"/>
    <x v="19"/>
    <n v="7"/>
    <n v="73333.72"/>
    <n v="0.15"/>
    <n v="8114.77"/>
  </r>
  <r>
    <s v="ORD-1734"/>
    <x v="216"/>
    <s v="CUST-1107"/>
    <s v="Divya Sharma"/>
    <x v="3"/>
    <x v="10"/>
    <s v="Tirupati"/>
    <x v="1"/>
    <s v="Phones"/>
    <x v="1"/>
    <n v="7"/>
    <n v="108927.39"/>
    <n v="0.1"/>
    <n v="22798.14"/>
  </r>
  <r>
    <s v="ORD-1383"/>
    <x v="217"/>
    <s v="CUST-1022"/>
    <s v="Asha Reddy"/>
    <x v="3"/>
    <x v="11"/>
    <s v="Thiruvananthapuram"/>
    <x v="0"/>
    <s v="Chairs"/>
    <x v="0"/>
    <n v="1"/>
    <n v="5617.01"/>
    <n v="0.1"/>
    <n v="882.3"/>
  </r>
  <r>
    <s v="ORD-1291"/>
    <x v="217"/>
    <s v="CUST-1046"/>
    <s v="Isha Rao"/>
    <x v="1"/>
    <x v="1"/>
    <s v="Mumbai"/>
    <x v="1"/>
    <s v="Accessories"/>
    <x v="4"/>
    <n v="1"/>
    <n v="917.6"/>
    <n v="0.05"/>
    <n v="111.79"/>
  </r>
  <r>
    <s v="ORD-1517"/>
    <x v="217"/>
    <s v="CUST-1071"/>
    <s v="Kiran Reddy"/>
    <x v="1"/>
    <x v="8"/>
    <s v="Panaji"/>
    <x v="2"/>
    <s v="Stationery"/>
    <x v="22"/>
    <n v="2"/>
    <n v="446.01"/>
    <n v="0.1"/>
    <n v="20.010000000000002"/>
  </r>
  <r>
    <s v="ORD-1591"/>
    <x v="217"/>
    <s v="CUST-1147"/>
    <s v="Aarav Patel"/>
    <x v="1"/>
    <x v="13"/>
    <s v="Surat"/>
    <x v="2"/>
    <s v="Stationery"/>
    <x v="22"/>
    <n v="4"/>
    <n v="950.32"/>
    <n v="0.1"/>
    <n v="130.59"/>
  </r>
  <r>
    <s v="ORD-1068"/>
    <x v="217"/>
    <s v="CUST-1042"/>
    <s v="Divya Gupta"/>
    <x v="2"/>
    <x v="14"/>
    <s v="Noida"/>
    <x v="2"/>
    <s v="Stationery"/>
    <x v="26"/>
    <n v="3"/>
    <n v="487.79"/>
    <n v="0.1"/>
    <n v="51.02"/>
  </r>
  <r>
    <s v="ORD-1108"/>
    <x v="217"/>
    <s v="CUST-1033"/>
    <s v="Sneha Gupta"/>
    <x v="3"/>
    <x v="11"/>
    <s v="Thiruvananthapuram"/>
    <x v="0"/>
    <s v="Storage"/>
    <x v="13"/>
    <n v="3"/>
    <n v="24914.99"/>
    <n v="0.05"/>
    <n v="3782.89"/>
  </r>
  <r>
    <s v="ORD-1417"/>
    <x v="218"/>
    <s v="CUST-1014"/>
    <s v="Kiran Gupta"/>
    <x v="3"/>
    <x v="4"/>
    <s v="Bengaluru"/>
    <x v="0"/>
    <s v="Storage"/>
    <x v="3"/>
    <n v="7"/>
    <n v="44932.12"/>
    <n v="0.15"/>
    <n v="3294.45"/>
  </r>
  <r>
    <s v="ORD-1570"/>
    <x v="218"/>
    <s v="CUST-1033"/>
    <s v="Vikram Gupta"/>
    <x v="1"/>
    <x v="1"/>
    <s v="Pune"/>
    <x v="0"/>
    <s v="Tables"/>
    <x v="16"/>
    <n v="5"/>
    <n v="104030.21"/>
    <n v="0.05"/>
    <n v="14382.83"/>
  </r>
  <r>
    <s v="ORD-1959"/>
    <x v="218"/>
    <s v="CUST-1203"/>
    <s v="Aditya Sharma"/>
    <x v="2"/>
    <x v="12"/>
    <s v="New Delhi"/>
    <x v="2"/>
    <s v="Paper"/>
    <x v="25"/>
    <n v="4"/>
    <n v="1896.25"/>
    <n v="0.1"/>
    <n v="381.17"/>
  </r>
  <r>
    <s v="ORD-1674"/>
    <x v="218"/>
    <s v="CUST-1120"/>
    <s v="Divya Patel"/>
    <x v="3"/>
    <x v="11"/>
    <s v="Kochi"/>
    <x v="2"/>
    <s v="Organizers"/>
    <x v="23"/>
    <n v="3"/>
    <n v="1734.22"/>
    <n v="0.05"/>
    <n v="386.97"/>
  </r>
  <r>
    <s v="ORD-1908"/>
    <x v="218"/>
    <s v="CUST-1010"/>
    <s v="Nisha Reddy"/>
    <x v="0"/>
    <x v="0"/>
    <s v="Kolkata"/>
    <x v="1"/>
    <s v="Accessories"/>
    <x v="8"/>
    <n v="5"/>
    <n v="12088.51"/>
    <n v="0.1"/>
    <n v="2532.4699999999998"/>
  </r>
  <r>
    <s v="ORD-1492"/>
    <x v="219"/>
    <s v="CUST-1159"/>
    <s v="Varun Gupta"/>
    <x v="1"/>
    <x v="1"/>
    <s v="Nagpur"/>
    <x v="0"/>
    <s v="Storage"/>
    <x v="20"/>
    <n v="2"/>
    <n v="7527.76"/>
    <n v="0.2"/>
    <n v="1231.02"/>
  </r>
  <r>
    <s v="ORD-1316"/>
    <x v="219"/>
    <s v="CUST-1195"/>
    <s v="Sneha Kumar"/>
    <x v="2"/>
    <x v="2"/>
    <s v="Ludhiana"/>
    <x v="0"/>
    <s v="Storage"/>
    <x v="13"/>
    <n v="6"/>
    <n v="41768.22"/>
    <n v="0.15"/>
    <n v="6458.39"/>
  </r>
  <r>
    <s v="ORD-1363"/>
    <x v="219"/>
    <s v="CUST-1068"/>
    <s v="Kavya Patel"/>
    <x v="3"/>
    <x v="11"/>
    <s v="Kochi"/>
    <x v="2"/>
    <s v="Paper"/>
    <x v="7"/>
    <n v="3"/>
    <n v="983.64"/>
    <n v="0.05"/>
    <n v="168.84"/>
  </r>
  <r>
    <s v="ORD-1372"/>
    <x v="219"/>
    <s v="CUST-1048"/>
    <s v="Isha Patel"/>
    <x v="3"/>
    <x v="9"/>
    <s v="Coimbatore"/>
    <x v="0"/>
    <s v="Tables"/>
    <x v="16"/>
    <n v="5"/>
    <n v="106076.62"/>
    <n v="0.1"/>
    <n v="19167.07"/>
  </r>
  <r>
    <s v="ORD-1054"/>
    <x v="220"/>
    <s v="CUST-1203"/>
    <s v="Manoj Nair"/>
    <x v="0"/>
    <x v="0"/>
    <s v="Kolkata"/>
    <x v="1"/>
    <s v="Phones"/>
    <x v="11"/>
    <n v="6"/>
    <n v="155227"/>
    <n v="0.05"/>
    <n v="25459.11"/>
  </r>
  <r>
    <s v="ORD-1589"/>
    <x v="220"/>
    <s v="CUST-1138"/>
    <s v="Manoj Rao"/>
    <x v="3"/>
    <x v="9"/>
    <s v="Coimbatore"/>
    <x v="1"/>
    <s v="Accessories"/>
    <x v="8"/>
    <n v="7"/>
    <n v="14387.77"/>
    <n v="0.2"/>
    <n v="2853.6"/>
  </r>
  <r>
    <s v="ORD-1961"/>
    <x v="220"/>
    <s v="CUST-1250"/>
    <s v="Varun Das"/>
    <x v="0"/>
    <x v="0"/>
    <s v="Kolkata"/>
    <x v="0"/>
    <s v="Tables"/>
    <x v="16"/>
    <n v="4"/>
    <n v="89460.47"/>
    <n v="0"/>
    <n v="18256.55"/>
  </r>
  <r>
    <s v="ORD-1667"/>
    <x v="221"/>
    <s v="CUST-1070"/>
    <s v="Kavya Singh"/>
    <x v="2"/>
    <x v="12"/>
    <s v="New Delhi"/>
    <x v="1"/>
    <s v="Laptops"/>
    <x v="10"/>
    <n v="5"/>
    <n v="307295.78000000003"/>
    <n v="0.15"/>
    <n v="22307.82"/>
  </r>
  <r>
    <s v="ORD-1938"/>
    <x v="221"/>
    <s v="CUST-1155"/>
    <s v="Priya Sharma"/>
    <x v="3"/>
    <x v="4"/>
    <s v="Mysuru"/>
    <x v="1"/>
    <s v="Accessories"/>
    <x v="8"/>
    <n v="1"/>
    <n v="2405.16"/>
    <n v="0.05"/>
    <n v="207.83"/>
  </r>
  <r>
    <s v="ORD-1245"/>
    <x v="221"/>
    <s v="CUST-1250"/>
    <s v="Divya Rao"/>
    <x v="1"/>
    <x v="8"/>
    <s v="Panaji"/>
    <x v="1"/>
    <s v="Laptops"/>
    <x v="9"/>
    <n v="7"/>
    <n v="451265.93"/>
    <n v="0"/>
    <n v="52872.85"/>
  </r>
  <r>
    <s v="ORD-1104"/>
    <x v="221"/>
    <s v="CUST-1061"/>
    <s v="Isha Kumar"/>
    <x v="0"/>
    <x v="7"/>
    <s v="Ranchi"/>
    <x v="1"/>
    <s v="Phones"/>
    <x v="11"/>
    <n v="7"/>
    <n v="196572.65"/>
    <n v="0"/>
    <n v="32927.75"/>
  </r>
  <r>
    <s v="ORD-1361"/>
    <x v="222"/>
    <s v="CUST-1146"/>
    <s v="Ananya Sharma"/>
    <x v="0"/>
    <x v="0"/>
    <s v="Kolkata"/>
    <x v="0"/>
    <s v="Tables"/>
    <x v="5"/>
    <n v="7"/>
    <n v="62242.52"/>
    <n v="0.05"/>
    <n v="4918.37"/>
  </r>
  <r>
    <s v="ORD-1951"/>
    <x v="223"/>
    <s v="CUST-1201"/>
    <s v="Rohan Rao"/>
    <x v="0"/>
    <x v="16"/>
    <s v="Patna"/>
    <x v="0"/>
    <s v="Storage"/>
    <x v="3"/>
    <n v="2"/>
    <n v="13209.84"/>
    <n v="0.05"/>
    <n v="1894.29"/>
  </r>
  <r>
    <s v="ORD-1180"/>
    <x v="223"/>
    <s v="CUST-1223"/>
    <s v="Sneha Gupta"/>
    <x v="3"/>
    <x v="5"/>
    <s v="Warangal"/>
    <x v="1"/>
    <s v="Phones"/>
    <x v="11"/>
    <n v="6"/>
    <n v="157457.9"/>
    <n v="0.1"/>
    <n v="25525.21"/>
  </r>
  <r>
    <s v="ORD-1678"/>
    <x v="224"/>
    <s v="CUST-1071"/>
    <s v="Varun Nair"/>
    <x v="0"/>
    <x v="16"/>
    <s v="Patna"/>
    <x v="1"/>
    <s v="Laptops"/>
    <x v="9"/>
    <n v="1"/>
    <n v="56386.99"/>
    <n v="0.1"/>
    <n v="9509.4599999999991"/>
  </r>
  <r>
    <s v="ORD-1994"/>
    <x v="224"/>
    <s v="CUST-1092"/>
    <s v="Rohan Rao"/>
    <x v="2"/>
    <x v="14"/>
    <s v="Noida"/>
    <x v="0"/>
    <s v="Tables"/>
    <x v="5"/>
    <n v="7"/>
    <n v="57167.6"/>
    <n v="0.1"/>
    <n v="6076.68"/>
  </r>
  <r>
    <s v="ORD-1818"/>
    <x v="224"/>
    <s v="CUST-1152"/>
    <s v="Aditya Gupta"/>
    <x v="0"/>
    <x v="7"/>
    <s v="Ranchi"/>
    <x v="2"/>
    <s v="Organizers"/>
    <x v="23"/>
    <n v="6"/>
    <n v="3434.03"/>
    <n v="0.15"/>
    <n v="352.63"/>
  </r>
  <r>
    <s v="ORD-1314"/>
    <x v="225"/>
    <s v="CUST-1214"/>
    <s v="Isha Verma"/>
    <x v="2"/>
    <x v="6"/>
    <s v="Faridabad"/>
    <x v="0"/>
    <s v="Tables"/>
    <x v="12"/>
    <n v="7"/>
    <n v="34279.46"/>
    <n v="0.1"/>
    <n v="6148.86"/>
  </r>
  <r>
    <s v="ORD-1306"/>
    <x v="225"/>
    <s v="CUST-1064"/>
    <s v="Vikram Gupta"/>
    <x v="3"/>
    <x v="5"/>
    <s v="Warangal"/>
    <x v="0"/>
    <s v="Tables"/>
    <x v="12"/>
    <n v="2"/>
    <n v="11783.4"/>
    <n v="0"/>
    <n v="2184.56"/>
  </r>
  <r>
    <s v="ORD-1293"/>
    <x v="225"/>
    <s v="CUST-1151"/>
    <s v="Varun Patel"/>
    <x v="0"/>
    <x v="7"/>
    <s v="Ranchi"/>
    <x v="0"/>
    <s v="Chairs"/>
    <x v="0"/>
    <n v="2"/>
    <n v="11145.93"/>
    <n v="0.1"/>
    <n v="1757.92"/>
  </r>
  <r>
    <s v="ORD-1654"/>
    <x v="226"/>
    <s v="CUST-1033"/>
    <s v="Meera Reddy"/>
    <x v="3"/>
    <x v="11"/>
    <s v="Thiruvananthapuram"/>
    <x v="2"/>
    <s v="Paper"/>
    <x v="17"/>
    <n v="5"/>
    <n v="2094.7800000000002"/>
    <n v="0.05"/>
    <n v="296.64"/>
  </r>
  <r>
    <s v="ORD-1087"/>
    <x v="226"/>
    <s v="CUST-1022"/>
    <s v="Aditya Patel"/>
    <x v="2"/>
    <x v="12"/>
    <s v="New Delhi"/>
    <x v="0"/>
    <s v="Chairs"/>
    <x v="19"/>
    <n v="1"/>
    <n v="11030.65"/>
    <n v="0.1"/>
    <n v="953.27"/>
  </r>
  <r>
    <s v="ORD-1342"/>
    <x v="226"/>
    <s v="CUST-1210"/>
    <s v="Sanjay Das"/>
    <x v="3"/>
    <x v="5"/>
    <s v="Hyderabad"/>
    <x v="2"/>
    <s v="Organizers"/>
    <x v="23"/>
    <n v="1"/>
    <n v="570.4"/>
    <n v="0.15"/>
    <n v="80.28"/>
  </r>
  <r>
    <s v="ORD-1986"/>
    <x v="226"/>
    <s v="CUST-1083"/>
    <s v="Kiran Das"/>
    <x v="0"/>
    <x v="7"/>
    <s v="Ranchi"/>
    <x v="2"/>
    <s v="Stationery"/>
    <x v="26"/>
    <n v="2"/>
    <n v="366.79"/>
    <n v="0.05"/>
    <n v="75.48"/>
  </r>
  <r>
    <s v="ORD-1700"/>
    <x v="227"/>
    <s v="CUST-1060"/>
    <s v="Rahul Sharma"/>
    <x v="3"/>
    <x v="11"/>
    <s v="Kochi"/>
    <x v="1"/>
    <s v="Laptops"/>
    <x v="15"/>
    <n v="2"/>
    <n v="86922.79"/>
    <n v="0.05"/>
    <n v="17979.11"/>
  </r>
  <r>
    <s v="ORD-1062"/>
    <x v="227"/>
    <s v="CUST-1131"/>
    <s v="Manoj Gupta"/>
    <x v="3"/>
    <x v="11"/>
    <s v="Thiruvananthapuram"/>
    <x v="1"/>
    <s v="Laptops"/>
    <x v="10"/>
    <n v="6"/>
    <n v="421365.1"/>
    <n v="0.05"/>
    <n v="89084.07"/>
  </r>
  <r>
    <s v="ORD-1687"/>
    <x v="227"/>
    <s v="CUST-1148"/>
    <s v="Sneha Gupta"/>
    <x v="3"/>
    <x v="9"/>
    <s v="Chennai"/>
    <x v="0"/>
    <s v="Chairs"/>
    <x v="19"/>
    <n v="5"/>
    <n v="48204.25"/>
    <n v="0.2"/>
    <n v="3595.58"/>
  </r>
  <r>
    <s v="ORD-1783"/>
    <x v="227"/>
    <s v="CUST-1218"/>
    <s v="Aarav Rao"/>
    <x v="0"/>
    <x v="16"/>
    <s v="Patna"/>
    <x v="1"/>
    <s v="Phones"/>
    <x v="1"/>
    <n v="2"/>
    <n v="30866.78"/>
    <n v="0.15"/>
    <n v="1924.96"/>
  </r>
  <r>
    <s v="ORD-1290"/>
    <x v="228"/>
    <s v="CUST-1022"/>
    <s v="Ananya Reddy"/>
    <x v="0"/>
    <x v="0"/>
    <s v="Kolkata"/>
    <x v="1"/>
    <s v="Phones"/>
    <x v="11"/>
    <n v="5"/>
    <n v="116238.71"/>
    <n v="0.2"/>
    <n v="20799.63"/>
  </r>
  <r>
    <s v="ORD-1285"/>
    <x v="228"/>
    <s v="CUST-1148"/>
    <s v="Divya Verma"/>
    <x v="3"/>
    <x v="4"/>
    <s v="Bengaluru"/>
    <x v="0"/>
    <s v="Tables"/>
    <x v="16"/>
    <n v="7"/>
    <n v="160923.74"/>
    <n v="0"/>
    <n v="32401.74"/>
  </r>
  <r>
    <s v="ORD-1155"/>
    <x v="228"/>
    <s v="CUST-1108"/>
    <s v="Aarav Nair"/>
    <x v="3"/>
    <x v="4"/>
    <s v="Bengaluru"/>
    <x v="2"/>
    <s v="Stationery"/>
    <x v="21"/>
    <n v="4"/>
    <n v="945.36"/>
    <n v="0.2"/>
    <n v="144.35"/>
  </r>
  <r>
    <s v="ORD-1562"/>
    <x v="228"/>
    <s v="CUST-1046"/>
    <s v="Arjun Nair"/>
    <x v="2"/>
    <x v="14"/>
    <s v="Noida"/>
    <x v="2"/>
    <s v="Organizers"/>
    <x v="14"/>
    <n v="2"/>
    <n v="1262.5"/>
    <n v="0.2"/>
    <n v="205.08"/>
  </r>
  <r>
    <s v="ORD-1768"/>
    <x v="229"/>
    <s v="CUST-1235"/>
    <s v="Manoj Singh"/>
    <x v="3"/>
    <x v="4"/>
    <s v="Bengaluru"/>
    <x v="1"/>
    <s v="Phones"/>
    <x v="18"/>
    <n v="3"/>
    <n v="117830.53"/>
    <n v="0"/>
    <n v="7213.81"/>
  </r>
  <r>
    <s v="ORD-1655"/>
    <x v="229"/>
    <s v="CUST-1246"/>
    <s v="Meera Nair"/>
    <x v="3"/>
    <x v="10"/>
    <s v="Vijayawada"/>
    <x v="0"/>
    <s v="Storage"/>
    <x v="20"/>
    <n v="4"/>
    <n v="20246.599999999999"/>
    <n v="0"/>
    <n v="3556.78"/>
  </r>
  <r>
    <s v="ORD-1423"/>
    <x v="229"/>
    <s v="CUST-1038"/>
    <s v="Sneha Reddy"/>
    <x v="3"/>
    <x v="11"/>
    <s v="Thiruvananthapuram"/>
    <x v="0"/>
    <s v="Chairs"/>
    <x v="0"/>
    <n v="2"/>
    <n v="11374.77"/>
    <n v="0.05"/>
    <n v="1584.77"/>
  </r>
  <r>
    <s v="ORD-1960"/>
    <x v="230"/>
    <s v="CUST-1140"/>
    <s v="Isha Kumar"/>
    <x v="2"/>
    <x v="6"/>
    <s v="Faridabad"/>
    <x v="0"/>
    <s v="Chairs"/>
    <x v="6"/>
    <n v="6"/>
    <n v="19308.580000000002"/>
    <n v="0"/>
    <n v="4360.6099999999997"/>
  </r>
  <r>
    <s v="ORD-1184"/>
    <x v="231"/>
    <s v="CUST-1220"/>
    <s v="Varun Nair"/>
    <x v="2"/>
    <x v="14"/>
    <s v="Lucknow"/>
    <x v="0"/>
    <s v="Tables"/>
    <x v="16"/>
    <n v="1"/>
    <n v="19524.28"/>
    <n v="0.05"/>
    <n v="1751.53"/>
  </r>
  <r>
    <s v="ORD-1133"/>
    <x v="231"/>
    <s v="CUST-1189"/>
    <s v="Asha Reddy"/>
    <x v="2"/>
    <x v="6"/>
    <s v="Gurugram"/>
    <x v="0"/>
    <s v="Chairs"/>
    <x v="0"/>
    <n v="4"/>
    <n v="26139.38"/>
    <n v="0.05"/>
    <n v="3933.07"/>
  </r>
  <r>
    <s v="ORD-1889"/>
    <x v="231"/>
    <s v="CUST-1082"/>
    <s v="Pooja Sharma"/>
    <x v="3"/>
    <x v="4"/>
    <s v="Bengaluru"/>
    <x v="0"/>
    <s v="Chairs"/>
    <x v="6"/>
    <n v="6"/>
    <n v="18347.669999999998"/>
    <n v="0.05"/>
    <n v="1626.56"/>
  </r>
  <r>
    <s v="ORD-1051"/>
    <x v="231"/>
    <s v="CUST-1057"/>
    <s v="Sanjay Das"/>
    <x v="2"/>
    <x v="2"/>
    <s v="Ludhiana"/>
    <x v="2"/>
    <s v="Organizers"/>
    <x v="2"/>
    <n v="4"/>
    <n v="1754.2"/>
    <n v="0.15"/>
    <n v="80.540000000000006"/>
  </r>
  <r>
    <s v="ORD-1410"/>
    <x v="231"/>
    <s v="CUST-1039"/>
    <s v="Varun Das"/>
    <x v="2"/>
    <x v="12"/>
    <s v="New Delhi"/>
    <x v="1"/>
    <s v="Laptops"/>
    <x v="15"/>
    <n v="7"/>
    <n v="258469.32"/>
    <n v="0.15"/>
    <n v="46706.1"/>
  </r>
  <r>
    <s v="ORD-1040"/>
    <x v="232"/>
    <s v="CUST-1230"/>
    <s v="Vikram Gupta"/>
    <x v="1"/>
    <x v="8"/>
    <s v="Panaji"/>
    <x v="0"/>
    <s v="Storage"/>
    <x v="13"/>
    <n v="7"/>
    <n v="61989.58"/>
    <n v="0"/>
    <n v="10617.53"/>
  </r>
  <r>
    <s v="ORD-1438"/>
    <x v="232"/>
    <s v="CUST-1061"/>
    <s v="Sanjay Gupta"/>
    <x v="1"/>
    <x v="8"/>
    <s v="Panaji"/>
    <x v="0"/>
    <s v="Chairs"/>
    <x v="6"/>
    <n v="4"/>
    <n v="9449.82"/>
    <n v="0.2"/>
    <n v="986.39"/>
  </r>
  <r>
    <s v="ORD-1567"/>
    <x v="233"/>
    <s v="CUST-1216"/>
    <s v="Pooja Nair"/>
    <x v="0"/>
    <x v="7"/>
    <s v="Ranchi"/>
    <x v="0"/>
    <s v="Tables"/>
    <x v="12"/>
    <n v="5"/>
    <n v="29537.61"/>
    <n v="0"/>
    <n v="6650.63"/>
  </r>
  <r>
    <s v="ORD-1548"/>
    <x v="234"/>
    <s v="CUST-1198"/>
    <s v="Rahul Kumar"/>
    <x v="3"/>
    <x v="11"/>
    <s v="Thiruvananthapuram"/>
    <x v="0"/>
    <s v="Tables"/>
    <x v="5"/>
    <n v="3"/>
    <n v="28170.34"/>
    <n v="0.05"/>
    <n v="3944.02"/>
  </r>
  <r>
    <s v="ORD-1159"/>
    <x v="235"/>
    <s v="CUST-1010"/>
    <s v="Priya Nair"/>
    <x v="3"/>
    <x v="4"/>
    <s v="Mysuru"/>
    <x v="1"/>
    <s v="Phones"/>
    <x v="18"/>
    <n v="2"/>
    <n v="80285.38"/>
    <n v="0"/>
    <n v="18651.75"/>
  </r>
  <r>
    <s v="ORD-1369"/>
    <x v="235"/>
    <s v="CUST-1215"/>
    <s v="Priya Gupta"/>
    <x v="1"/>
    <x v="13"/>
    <s v="Ahmedabad"/>
    <x v="1"/>
    <s v="Phones"/>
    <x v="18"/>
    <n v="2"/>
    <n v="72245.490000000005"/>
    <n v="0.1"/>
    <n v="6884.92"/>
  </r>
  <r>
    <s v="ORD-1790"/>
    <x v="235"/>
    <s v="CUST-1107"/>
    <s v="Pooja Nair"/>
    <x v="1"/>
    <x v="3"/>
    <s v="Jaipur"/>
    <x v="2"/>
    <s v="Organizers"/>
    <x v="14"/>
    <n v="3"/>
    <n v="2087.2600000000002"/>
    <n v="0"/>
    <n v="416.56"/>
  </r>
  <r>
    <s v="ORD-1696"/>
    <x v="236"/>
    <s v="CUST-1021"/>
    <s v="Manoj Singh"/>
    <x v="1"/>
    <x v="8"/>
    <s v="Panaji"/>
    <x v="2"/>
    <s v="Organizers"/>
    <x v="23"/>
    <n v="1"/>
    <n v="643.11"/>
    <n v="0"/>
    <n v="79.77"/>
  </r>
  <r>
    <s v="ORD-1116"/>
    <x v="236"/>
    <s v="CUST-1058"/>
    <s v="Sneha Reddy"/>
    <x v="2"/>
    <x v="6"/>
    <s v="Gurugram"/>
    <x v="2"/>
    <s v="Stationery"/>
    <x v="26"/>
    <n v="7"/>
    <n v="1223.53"/>
    <n v="0.05"/>
    <n v="148.74"/>
  </r>
  <r>
    <s v="ORD-1176"/>
    <x v="237"/>
    <s v="CUST-1029"/>
    <s v="Varun Patel"/>
    <x v="1"/>
    <x v="8"/>
    <s v="Panaji"/>
    <x v="0"/>
    <s v="Storage"/>
    <x v="13"/>
    <n v="6"/>
    <n v="43655.27"/>
    <n v="0.2"/>
    <n v="1212.3599999999999"/>
  </r>
  <r>
    <s v="ORD-1514"/>
    <x v="237"/>
    <s v="CUST-1249"/>
    <s v="Kiran Patel"/>
    <x v="2"/>
    <x v="14"/>
    <s v="Noida"/>
    <x v="2"/>
    <s v="Organizers"/>
    <x v="2"/>
    <n v="1"/>
    <n v="459.45"/>
    <n v="0"/>
    <n v="80.13"/>
  </r>
  <r>
    <s v="ORD-1746"/>
    <x v="237"/>
    <s v="CUST-1164"/>
    <s v="Manoj Das"/>
    <x v="2"/>
    <x v="12"/>
    <s v="New Delhi"/>
    <x v="1"/>
    <s v="Phones"/>
    <x v="1"/>
    <n v="6"/>
    <n v="90405.67"/>
    <n v="0.2"/>
    <n v="12605.3"/>
  </r>
  <r>
    <s v="ORD-1482"/>
    <x v="237"/>
    <s v="CUST-1127"/>
    <s v="Arjun Das"/>
    <x v="0"/>
    <x v="16"/>
    <s v="Patna"/>
    <x v="1"/>
    <s v="Accessories"/>
    <x v="24"/>
    <n v="3"/>
    <n v="4071.27"/>
    <n v="0.1"/>
    <n v="793.57"/>
  </r>
  <r>
    <s v="ORD-1881"/>
    <x v="237"/>
    <s v="CUST-1016"/>
    <s v="Sneha Rao"/>
    <x v="3"/>
    <x v="4"/>
    <s v="Bengaluru"/>
    <x v="2"/>
    <s v="Stationery"/>
    <x v="26"/>
    <n v="2"/>
    <n v="363.7"/>
    <n v="0.05"/>
    <n v="60.17"/>
  </r>
  <r>
    <s v="ORD-1502"/>
    <x v="237"/>
    <s v="CUST-1063"/>
    <s v="Ananya Kumar"/>
    <x v="0"/>
    <x v="7"/>
    <s v="Ranchi"/>
    <x v="1"/>
    <s v="Accessories"/>
    <x v="24"/>
    <n v="2"/>
    <n v="2510.67"/>
    <n v="0.2"/>
    <n v="61.08"/>
  </r>
  <r>
    <s v="ORD-1970"/>
    <x v="237"/>
    <s v="CUST-1145"/>
    <s v="Rahul Verma"/>
    <x v="1"/>
    <x v="8"/>
    <s v="Panaji"/>
    <x v="1"/>
    <s v="Accessories"/>
    <x v="8"/>
    <n v="3"/>
    <n v="7515.68"/>
    <n v="0"/>
    <n v="1552.16"/>
  </r>
  <r>
    <s v="ORD-1049"/>
    <x v="238"/>
    <s v="CUST-1181"/>
    <s v="Arjun Singh"/>
    <x v="1"/>
    <x v="8"/>
    <s v="Panaji"/>
    <x v="1"/>
    <s v="Phones"/>
    <x v="18"/>
    <n v="6"/>
    <n v="228046.36"/>
    <n v="0.1"/>
    <n v="39904.449999999997"/>
  </r>
  <r>
    <s v="ORD-1187"/>
    <x v="239"/>
    <s v="CUST-1126"/>
    <s v="Vikram Das"/>
    <x v="0"/>
    <x v="15"/>
    <s v="Bhubaneswar"/>
    <x v="1"/>
    <s v="Phones"/>
    <x v="1"/>
    <n v="5"/>
    <n v="85267.01"/>
    <n v="0.05"/>
    <n v="6312.01"/>
  </r>
  <r>
    <s v="ORD-1806"/>
    <x v="239"/>
    <s v="CUST-1088"/>
    <s v="Kiran Singh"/>
    <x v="1"/>
    <x v="8"/>
    <s v="Panaji"/>
    <x v="2"/>
    <s v="Stationery"/>
    <x v="26"/>
    <n v="7"/>
    <n v="1197.02"/>
    <n v="0.1"/>
    <n v="49.94"/>
  </r>
  <r>
    <s v="ORD-1398"/>
    <x v="239"/>
    <s v="CUST-1075"/>
    <s v="Sanjay Das"/>
    <x v="0"/>
    <x v="15"/>
    <s v="Bhubaneswar"/>
    <x v="1"/>
    <s v="Phones"/>
    <x v="1"/>
    <n v="1"/>
    <n v="14817.79"/>
    <n v="0.15"/>
    <n v="3022.51"/>
  </r>
  <r>
    <s v="ORD-1428"/>
    <x v="239"/>
    <s v="CUST-1170"/>
    <s v="Kiran Verma"/>
    <x v="3"/>
    <x v="9"/>
    <s v="Chennai"/>
    <x v="2"/>
    <s v="Organizers"/>
    <x v="23"/>
    <n v="4"/>
    <n v="2346.46"/>
    <n v="0.15"/>
    <n v="415.08"/>
  </r>
  <r>
    <s v="ORD-1163"/>
    <x v="239"/>
    <s v="CUST-1103"/>
    <s v="Kavya Sharma"/>
    <x v="3"/>
    <x v="9"/>
    <s v="Chennai"/>
    <x v="1"/>
    <s v="Laptops"/>
    <x v="9"/>
    <n v="3"/>
    <n v="191702.55"/>
    <n v="0"/>
    <n v="32828.93"/>
  </r>
  <r>
    <s v="ORD-1244"/>
    <x v="239"/>
    <s v="CUST-1205"/>
    <s v="Kavya Reddy"/>
    <x v="1"/>
    <x v="3"/>
    <s v="Udaipur"/>
    <x v="0"/>
    <s v="Tables"/>
    <x v="5"/>
    <n v="4"/>
    <n v="34886.870000000003"/>
    <n v="0.05"/>
    <n v="5281.59"/>
  </r>
  <r>
    <s v="ORD-1716"/>
    <x v="240"/>
    <s v="CUST-1012"/>
    <s v="Rohan Kumar"/>
    <x v="3"/>
    <x v="10"/>
    <s v="Visakhapatnam"/>
    <x v="0"/>
    <s v="Chairs"/>
    <x v="0"/>
    <n v="5"/>
    <n v="25742.22"/>
    <n v="0.2"/>
    <n v="4504.53"/>
  </r>
  <r>
    <s v="ORD-1146"/>
    <x v="241"/>
    <s v="CUST-1054"/>
    <s v="Aarav Gupta"/>
    <x v="2"/>
    <x v="2"/>
    <s v="Amritsar"/>
    <x v="0"/>
    <s v="Storage"/>
    <x v="20"/>
    <n v="1"/>
    <n v="4324.7299999999996"/>
    <n v="0.1"/>
    <n v="922.58"/>
  </r>
  <r>
    <s v="ORD-1996"/>
    <x v="241"/>
    <s v="CUST-1101"/>
    <s v="Varun Patel"/>
    <x v="0"/>
    <x v="16"/>
    <s v="Patna"/>
    <x v="0"/>
    <s v="Storage"/>
    <x v="3"/>
    <n v="3"/>
    <n v="17678.84"/>
    <n v="0.2"/>
    <n v="3040.7"/>
  </r>
  <r>
    <s v="ORD-1464"/>
    <x v="241"/>
    <s v="CUST-1046"/>
    <s v="Nisha Patel"/>
    <x v="1"/>
    <x v="3"/>
    <s v="Jaipur"/>
    <x v="2"/>
    <s v="Stationery"/>
    <x v="21"/>
    <n v="2"/>
    <n v="636.59"/>
    <n v="0.05"/>
    <n v="139.65"/>
  </r>
  <r>
    <s v="ORD-1439"/>
    <x v="242"/>
    <s v="CUST-1079"/>
    <s v="Rahul Nair"/>
    <x v="3"/>
    <x v="5"/>
    <s v="Warangal"/>
    <x v="1"/>
    <s v="Laptops"/>
    <x v="10"/>
    <n v="7"/>
    <n v="449321.31"/>
    <n v="0.2"/>
    <n v="60050.75"/>
  </r>
  <r>
    <s v="ORD-1256"/>
    <x v="242"/>
    <s v="CUST-1225"/>
    <s v="Kavya Rao"/>
    <x v="2"/>
    <x v="14"/>
    <s v="Noida"/>
    <x v="0"/>
    <s v="Chairs"/>
    <x v="0"/>
    <n v="7"/>
    <n v="39761.49"/>
    <n v="0.15"/>
    <n v="5107.5"/>
  </r>
  <r>
    <s v="ORD-1999"/>
    <x v="242"/>
    <s v="CUST-1113"/>
    <s v="Kiran Reddy"/>
    <x v="0"/>
    <x v="15"/>
    <s v="Bhubaneswar"/>
    <x v="1"/>
    <s v="Phones"/>
    <x v="18"/>
    <n v="6"/>
    <n v="188827.03"/>
    <n v="0.2"/>
    <n v="16954.25"/>
  </r>
  <r>
    <s v="ORD-1081"/>
    <x v="242"/>
    <s v="CUST-1157"/>
    <s v="Vikram Kumar"/>
    <x v="3"/>
    <x v="9"/>
    <s v="Chennai"/>
    <x v="0"/>
    <s v="Tables"/>
    <x v="12"/>
    <n v="2"/>
    <n v="10893.68"/>
    <n v="0.05"/>
    <n v="746.62"/>
  </r>
  <r>
    <s v="ORD-1550"/>
    <x v="242"/>
    <s v="CUST-1098"/>
    <s v="Varun Nair"/>
    <x v="2"/>
    <x v="14"/>
    <s v="Noida"/>
    <x v="0"/>
    <s v="Chairs"/>
    <x v="6"/>
    <n v="6"/>
    <n v="18679.78"/>
    <n v="0"/>
    <n v="2196.8000000000002"/>
  </r>
  <r>
    <s v="ORD-1319"/>
    <x v="242"/>
    <s v="CUST-1075"/>
    <s v="Aarav Rao"/>
    <x v="2"/>
    <x v="12"/>
    <s v="New Delhi"/>
    <x v="2"/>
    <s v="Organizers"/>
    <x v="14"/>
    <n v="5"/>
    <n v="3657.56"/>
    <n v="0.05"/>
    <n v="244.98"/>
  </r>
  <r>
    <s v="ORD-1525"/>
    <x v="243"/>
    <s v="CUST-1002"/>
    <s v="Priya Rao"/>
    <x v="0"/>
    <x v="15"/>
    <s v="Cuttack"/>
    <x v="1"/>
    <s v="Accessories"/>
    <x v="24"/>
    <n v="2"/>
    <n v="3044.49"/>
    <n v="0"/>
    <n v="634.79999999999995"/>
  </r>
  <r>
    <s v="ORD-1682"/>
    <x v="243"/>
    <s v="CUST-1139"/>
    <s v="Aditya Rao"/>
    <x v="0"/>
    <x v="16"/>
    <s v="Patna"/>
    <x v="1"/>
    <s v="Laptops"/>
    <x v="15"/>
    <n v="4"/>
    <n v="155128.78"/>
    <n v="0.2"/>
    <n v="28930.87"/>
  </r>
  <r>
    <s v="ORD-1218"/>
    <x v="244"/>
    <s v="CUST-1238"/>
    <s v="Manoj Sharma"/>
    <x v="0"/>
    <x v="0"/>
    <s v="Kolkata"/>
    <x v="0"/>
    <s v="Chairs"/>
    <x v="6"/>
    <n v="3"/>
    <n v="8584.99"/>
    <n v="0.1"/>
    <n v="1106.08"/>
  </r>
  <r>
    <s v="ORD-1197"/>
    <x v="244"/>
    <s v="CUST-1248"/>
    <s v="Meera Verma"/>
    <x v="3"/>
    <x v="5"/>
    <s v="Warangal"/>
    <x v="2"/>
    <s v="Organizers"/>
    <x v="14"/>
    <n v="1"/>
    <n v="666.15"/>
    <n v="0.05"/>
    <n v="86.2"/>
  </r>
  <r>
    <s v="ORD-1750"/>
    <x v="244"/>
    <s v="CUST-1002"/>
    <s v="Divya Nair"/>
    <x v="1"/>
    <x v="1"/>
    <s v="Nagpur"/>
    <x v="2"/>
    <s v="Stationery"/>
    <x v="22"/>
    <n v="5"/>
    <n v="1287.3699999999999"/>
    <n v="0"/>
    <n v="288.88"/>
  </r>
  <r>
    <s v="ORD-1215"/>
    <x v="245"/>
    <s v="CUST-1006"/>
    <s v="Kavya Kumar"/>
    <x v="3"/>
    <x v="5"/>
    <s v="Hyderabad"/>
    <x v="2"/>
    <s v="Stationery"/>
    <x v="21"/>
    <n v="6"/>
    <n v="1844.55"/>
    <n v="0"/>
    <n v="230.82"/>
  </r>
  <r>
    <s v="ORD-2000"/>
    <x v="245"/>
    <s v="CUST-1224"/>
    <s v="Nisha Nair"/>
    <x v="3"/>
    <x v="4"/>
    <s v="Mysuru"/>
    <x v="1"/>
    <s v="Laptops"/>
    <x v="9"/>
    <n v="3"/>
    <n v="197390.4"/>
    <n v="0"/>
    <n v="40604.230000000003"/>
  </r>
  <r>
    <s v="ORD-1623"/>
    <x v="245"/>
    <s v="CUST-1170"/>
    <s v="Divya Das"/>
    <x v="3"/>
    <x v="11"/>
    <s v="Thiruvananthapuram"/>
    <x v="0"/>
    <s v="Tables"/>
    <x v="12"/>
    <n v="4"/>
    <n v="16996.93"/>
    <n v="0.2"/>
    <n v="557.5"/>
  </r>
  <r>
    <s v="ORD-1089"/>
    <x v="245"/>
    <s v="CUST-1237"/>
    <s v="Vikram Verma"/>
    <x v="1"/>
    <x v="3"/>
    <s v="Jaipur"/>
    <x v="1"/>
    <s v="Laptops"/>
    <x v="15"/>
    <n v="3"/>
    <n v="114460.82"/>
    <n v="0.2"/>
    <n v="14597.69"/>
  </r>
  <r>
    <s v="ORD-1374"/>
    <x v="246"/>
    <s v="CUST-1202"/>
    <s v="Vikram Patel"/>
    <x v="3"/>
    <x v="10"/>
    <s v="Vijayawada"/>
    <x v="1"/>
    <s v="Laptops"/>
    <x v="9"/>
    <n v="5"/>
    <n v="269506.26"/>
    <n v="0.1"/>
    <n v="24351.040000000001"/>
  </r>
  <r>
    <s v="ORD-1647"/>
    <x v="246"/>
    <s v="CUST-1038"/>
    <s v="Meera Sharma"/>
    <x v="2"/>
    <x v="14"/>
    <s v="Lucknow"/>
    <x v="2"/>
    <s v="Stationery"/>
    <x v="22"/>
    <n v="7"/>
    <n v="1664.32"/>
    <n v="0.1"/>
    <n v="68.040000000000006"/>
  </r>
  <r>
    <s v="ORD-1005"/>
    <x v="246"/>
    <s v="CUST-1095"/>
    <s v="Pooja Gupta"/>
    <x v="1"/>
    <x v="13"/>
    <s v="Surat"/>
    <x v="0"/>
    <s v="Chairs"/>
    <x v="6"/>
    <n v="2"/>
    <n v="5458.63"/>
    <n v="0.15"/>
    <n v="1042.97"/>
  </r>
  <r>
    <s v="ORD-1794"/>
    <x v="246"/>
    <s v="CUST-1187"/>
    <s v="Vikram Kumar"/>
    <x v="1"/>
    <x v="1"/>
    <s v="Nagpur"/>
    <x v="0"/>
    <s v="Storage"/>
    <x v="3"/>
    <n v="5"/>
    <n v="29798.66"/>
    <n v="0.2"/>
    <n v="2046.24"/>
  </r>
  <r>
    <s v="ORD-1627"/>
    <x v="246"/>
    <s v="CUST-1036"/>
    <s v="Arjun Gupta"/>
    <x v="1"/>
    <x v="3"/>
    <s v="Jaipur"/>
    <x v="2"/>
    <s v="Organizers"/>
    <x v="2"/>
    <n v="4"/>
    <n v="1806.43"/>
    <n v="0"/>
    <n v="220.77"/>
  </r>
  <r>
    <s v="ORD-1658"/>
    <x v="247"/>
    <s v="CUST-1227"/>
    <s v="Varun Singh"/>
    <x v="0"/>
    <x v="0"/>
    <s v="Kolkata"/>
    <x v="1"/>
    <s v="Accessories"/>
    <x v="8"/>
    <n v="1"/>
    <n v="2447.21"/>
    <n v="0.05"/>
    <n v="292.91000000000003"/>
  </r>
  <r>
    <s v="ORD-1688"/>
    <x v="247"/>
    <s v="CUST-1094"/>
    <s v="Manoj Rao"/>
    <x v="0"/>
    <x v="15"/>
    <s v="Cuttack"/>
    <x v="0"/>
    <s v="Chairs"/>
    <x v="0"/>
    <n v="6"/>
    <n v="39672.019999999997"/>
    <n v="0"/>
    <n v="5255.78"/>
  </r>
  <r>
    <s v="ORD-1147"/>
    <x v="247"/>
    <s v="CUST-1010"/>
    <s v="Isha Gupta"/>
    <x v="1"/>
    <x v="8"/>
    <s v="Panaji"/>
    <x v="2"/>
    <s v="Organizers"/>
    <x v="2"/>
    <n v="6"/>
    <n v="2630.79"/>
    <n v="0.1"/>
    <n v="481.1"/>
  </r>
  <r>
    <s v="ORD-1292"/>
    <x v="247"/>
    <s v="CUST-1132"/>
    <s v="Rohan Verma"/>
    <x v="0"/>
    <x v="0"/>
    <s v="Kolkata"/>
    <x v="0"/>
    <s v="Storage"/>
    <x v="13"/>
    <n v="2"/>
    <n v="17675.61"/>
    <n v="0"/>
    <n v="3970.27"/>
  </r>
  <r>
    <s v="ORD-1118"/>
    <x v="248"/>
    <s v="CUST-1126"/>
    <s v="Meera Patel"/>
    <x v="2"/>
    <x v="6"/>
    <s v="Gurugram"/>
    <x v="1"/>
    <s v="Phones"/>
    <x v="11"/>
    <n v="3"/>
    <n v="83490.59"/>
    <n v="0"/>
    <n v="5027.95"/>
  </r>
  <r>
    <s v="ORD-1843"/>
    <x v="248"/>
    <s v="CUST-1168"/>
    <s v="Kiran Patel"/>
    <x v="2"/>
    <x v="12"/>
    <s v="New Delhi"/>
    <x v="0"/>
    <s v="Chairs"/>
    <x v="6"/>
    <n v="4"/>
    <n v="11427.23"/>
    <n v="0.05"/>
    <n v="911.51"/>
  </r>
  <r>
    <s v="ORD-1769"/>
    <x v="248"/>
    <s v="CUST-1050"/>
    <s v="Arjun Reddy"/>
    <x v="1"/>
    <x v="3"/>
    <s v="Jaipur"/>
    <x v="0"/>
    <s v="Chairs"/>
    <x v="0"/>
    <n v="5"/>
    <n v="28617.35"/>
    <n v="0.1"/>
    <n v="5643.64"/>
  </r>
  <r>
    <s v="ORD-1460"/>
    <x v="248"/>
    <s v="CUST-1117"/>
    <s v="Divya Gupta"/>
    <x v="3"/>
    <x v="10"/>
    <s v="Vijayawada"/>
    <x v="1"/>
    <s v="Phones"/>
    <x v="11"/>
    <n v="1"/>
    <n v="29399.22"/>
    <n v="0"/>
    <n v="3578.21"/>
  </r>
  <r>
    <s v="ORD-1767"/>
    <x v="249"/>
    <s v="CUST-1026"/>
    <s v="Kavya Kumar"/>
    <x v="1"/>
    <x v="8"/>
    <s v="Panaji"/>
    <x v="1"/>
    <s v="Accessories"/>
    <x v="8"/>
    <n v="6"/>
    <n v="13554.13"/>
    <n v="0.05"/>
    <n v="2668.62"/>
  </r>
  <r>
    <s v="ORD-1901"/>
    <x v="250"/>
    <s v="CUST-1064"/>
    <s v="Arjun Reddy"/>
    <x v="1"/>
    <x v="1"/>
    <s v="Mumbai"/>
    <x v="0"/>
    <s v="Storage"/>
    <x v="20"/>
    <n v="6"/>
    <n v="27284.95"/>
    <n v="0.05"/>
    <n v="6248.65"/>
  </r>
  <r>
    <s v="ORD-1693"/>
    <x v="250"/>
    <s v="CUST-1007"/>
    <s v="Rohan Kumar"/>
    <x v="1"/>
    <x v="3"/>
    <s v="Jaipur"/>
    <x v="0"/>
    <s v="Chairs"/>
    <x v="0"/>
    <n v="1"/>
    <n v="6528.4"/>
    <n v="0"/>
    <n v="865.02"/>
  </r>
  <r>
    <s v="ORD-1888"/>
    <x v="251"/>
    <s v="CUST-1216"/>
    <s v="Varun Singh"/>
    <x v="0"/>
    <x v="16"/>
    <s v="Patna"/>
    <x v="1"/>
    <s v="Accessories"/>
    <x v="4"/>
    <n v="6"/>
    <n v="5054.16"/>
    <n v="0"/>
    <n v="633.78"/>
  </r>
  <r>
    <s v="ORD-1671"/>
    <x v="252"/>
    <s v="CUST-1064"/>
    <s v="Asha Reddy"/>
    <x v="2"/>
    <x v="2"/>
    <s v="Ludhiana"/>
    <x v="2"/>
    <s v="Stationery"/>
    <x v="26"/>
    <n v="7"/>
    <n v="1066.19"/>
    <n v="0.1"/>
    <n v="224.16"/>
  </r>
  <r>
    <s v="ORD-1946"/>
    <x v="252"/>
    <s v="CUST-1168"/>
    <s v="Priya Sharma"/>
    <x v="1"/>
    <x v="1"/>
    <s v="Nagpur"/>
    <x v="1"/>
    <s v="Accessories"/>
    <x v="8"/>
    <n v="1"/>
    <n v="2368.6799999999998"/>
    <n v="0"/>
    <n v="185.84"/>
  </r>
  <r>
    <s v="ORD-1112"/>
    <x v="253"/>
    <s v="CUST-1196"/>
    <s v="Asha Patel"/>
    <x v="3"/>
    <x v="9"/>
    <s v="Coimbatore"/>
    <x v="1"/>
    <s v="Phones"/>
    <x v="11"/>
    <n v="7"/>
    <n v="176651.58"/>
    <n v="0.05"/>
    <n v="32798.160000000003"/>
  </r>
  <r>
    <s v="ORD-1988"/>
    <x v="253"/>
    <s v="CUST-1016"/>
    <s v="Priya Verma"/>
    <x v="3"/>
    <x v="5"/>
    <s v="Hyderabad"/>
    <x v="1"/>
    <s v="Phones"/>
    <x v="1"/>
    <n v="1"/>
    <n v="16313.88"/>
    <n v="0.1"/>
    <n v="1803.2"/>
  </r>
  <r>
    <s v="ORD-1903"/>
    <x v="254"/>
    <s v="CUST-1097"/>
    <s v="Kavya Verma"/>
    <x v="1"/>
    <x v="3"/>
    <s v="Jaipur"/>
    <x v="1"/>
    <s v="Phones"/>
    <x v="18"/>
    <n v="3"/>
    <n v="115029.96"/>
    <n v="0.1"/>
    <n v="8755.0400000000009"/>
  </r>
  <r>
    <s v="ORD-1023"/>
    <x v="255"/>
    <s v="CUST-1093"/>
    <s v="Sanjay Singh"/>
    <x v="3"/>
    <x v="10"/>
    <s v="Vijayawada"/>
    <x v="2"/>
    <s v="Paper"/>
    <x v="7"/>
    <n v="6"/>
    <n v="1645.1"/>
    <n v="0.2"/>
    <n v="37.479999999999997"/>
  </r>
  <r>
    <s v="ORD-1781"/>
    <x v="255"/>
    <s v="CUST-1072"/>
    <s v="Rohan Singh"/>
    <x v="1"/>
    <x v="8"/>
    <s v="Panaji"/>
    <x v="0"/>
    <s v="Chairs"/>
    <x v="6"/>
    <n v="2"/>
    <n v="5095.91"/>
    <n v="0.15"/>
    <n v="272.98"/>
  </r>
  <r>
    <s v="ORD-1381"/>
    <x v="255"/>
    <s v="CUST-1004"/>
    <s v="Meera Kumar"/>
    <x v="1"/>
    <x v="3"/>
    <s v="Jaipur"/>
    <x v="0"/>
    <s v="Storage"/>
    <x v="3"/>
    <n v="7"/>
    <n v="51080.45"/>
    <n v="0"/>
    <n v="5391.27"/>
  </r>
  <r>
    <s v="ORD-1902"/>
    <x v="255"/>
    <s v="CUST-1088"/>
    <s v="Sanjay Gupta"/>
    <x v="3"/>
    <x v="9"/>
    <s v="Chennai"/>
    <x v="1"/>
    <s v="Accessories"/>
    <x v="4"/>
    <n v="3"/>
    <n v="2195.6"/>
    <n v="0.2"/>
    <n v="361.29"/>
  </r>
  <r>
    <s v="ORD-1900"/>
    <x v="255"/>
    <s v="CUST-1039"/>
    <s v="Varun Kumar"/>
    <x v="1"/>
    <x v="1"/>
    <s v="Nagpur"/>
    <x v="1"/>
    <s v="Phones"/>
    <x v="11"/>
    <n v="1"/>
    <n v="24355.21"/>
    <n v="0.1"/>
    <n v="1698.32"/>
  </r>
  <r>
    <s v="ORD-1685"/>
    <x v="256"/>
    <s v="CUST-1001"/>
    <s v="Isha Verma"/>
    <x v="1"/>
    <x v="1"/>
    <s v="Pune"/>
    <x v="2"/>
    <s v="Stationery"/>
    <x v="21"/>
    <n v="1"/>
    <n v="326.47000000000003"/>
    <n v="0.05"/>
    <n v="48.49"/>
  </r>
  <r>
    <s v="ORD-1905"/>
    <x v="257"/>
    <s v="CUST-1214"/>
    <s v="Ananya Gupta"/>
    <x v="3"/>
    <x v="5"/>
    <s v="Hyderabad"/>
    <x v="0"/>
    <s v="Chairs"/>
    <x v="19"/>
    <n v="5"/>
    <n v="54130.33"/>
    <n v="0.1"/>
    <n v="8846.3700000000008"/>
  </r>
  <r>
    <s v="ORD-1705"/>
    <x v="257"/>
    <s v="CUST-1129"/>
    <s v="Ananya Das"/>
    <x v="0"/>
    <x v="7"/>
    <s v="Ranchi"/>
    <x v="2"/>
    <s v="Organizers"/>
    <x v="2"/>
    <n v="5"/>
    <n v="2257.84"/>
    <n v="0"/>
    <n v="361.77"/>
  </r>
  <r>
    <s v="ORD-1786"/>
    <x v="258"/>
    <s v="CUST-1152"/>
    <s v="Rahul Das"/>
    <x v="3"/>
    <x v="11"/>
    <s v="Thiruvananthapuram"/>
    <x v="0"/>
    <s v="Chairs"/>
    <x v="6"/>
    <n v="2"/>
    <n v="5303.35"/>
    <n v="0.1"/>
    <n v="375.14"/>
  </r>
  <r>
    <s v="ORD-1664"/>
    <x v="258"/>
    <s v="CUST-1074"/>
    <s v="Rahul Das"/>
    <x v="0"/>
    <x v="7"/>
    <s v="Ranchi"/>
    <x v="1"/>
    <s v="Accessories"/>
    <x v="24"/>
    <n v="5"/>
    <n v="7621.15"/>
    <n v="0"/>
    <n v="504.32"/>
  </r>
  <r>
    <s v="ORD-1168"/>
    <x v="259"/>
    <s v="CUST-1203"/>
    <s v="Priya Gupta"/>
    <x v="3"/>
    <x v="10"/>
    <s v="Vijayawada"/>
    <x v="0"/>
    <s v="Chairs"/>
    <x v="0"/>
    <n v="2"/>
    <n v="9989.09"/>
    <n v="0.2"/>
    <n v="1604.35"/>
  </r>
  <r>
    <s v="ORD-1349"/>
    <x v="259"/>
    <s v="CUST-1129"/>
    <s v="Isha Reddy"/>
    <x v="2"/>
    <x v="12"/>
    <s v="New Delhi"/>
    <x v="1"/>
    <s v="Laptops"/>
    <x v="10"/>
    <n v="2"/>
    <n v="139717.16"/>
    <n v="0.05"/>
    <n v="14861.63"/>
  </r>
  <r>
    <s v="ORD-1107"/>
    <x v="259"/>
    <s v="CUST-1197"/>
    <s v="Kiran Sharma"/>
    <x v="1"/>
    <x v="8"/>
    <s v="Panaji"/>
    <x v="1"/>
    <s v="Accessories"/>
    <x v="4"/>
    <n v="2"/>
    <n v="1739.78"/>
    <n v="0.1"/>
    <n v="103.87"/>
  </r>
  <r>
    <s v="ORD-1053"/>
    <x v="260"/>
    <s v="CUST-1132"/>
    <s v="Isha Gupta"/>
    <x v="0"/>
    <x v="7"/>
    <s v="Ranchi"/>
    <x v="0"/>
    <s v="Chairs"/>
    <x v="6"/>
    <n v="4"/>
    <n v="11443.05"/>
    <n v="0.05"/>
    <n v="2009.12"/>
  </r>
  <r>
    <s v="ORD-1080"/>
    <x v="261"/>
    <s v="CUST-1144"/>
    <s v="Kavya Kumar"/>
    <x v="3"/>
    <x v="11"/>
    <s v="Thiruvananthapuram"/>
    <x v="2"/>
    <s v="Organizers"/>
    <x v="14"/>
    <n v="6"/>
    <n v="4277.3"/>
    <n v="0"/>
    <n v="284.77999999999997"/>
  </r>
  <r>
    <s v="ORD-1963"/>
    <x v="261"/>
    <s v="CUST-1198"/>
    <s v="Priya Nair"/>
    <x v="1"/>
    <x v="8"/>
    <s v="Panaji"/>
    <x v="2"/>
    <s v="Stationery"/>
    <x v="22"/>
    <n v="6"/>
    <n v="1358.89"/>
    <n v="0.15"/>
    <n v="241.49"/>
  </r>
  <r>
    <s v="ORD-1504"/>
    <x v="261"/>
    <s v="CUST-1088"/>
    <s v="Aditya Kumar"/>
    <x v="2"/>
    <x v="12"/>
    <s v="New Delhi"/>
    <x v="1"/>
    <s v="Laptops"/>
    <x v="15"/>
    <n v="2"/>
    <n v="92419.25"/>
    <n v="0"/>
    <n v="7763.11"/>
  </r>
  <r>
    <s v="ORD-1706"/>
    <x v="262"/>
    <s v="CUST-1244"/>
    <s v="Isha Sharma"/>
    <x v="1"/>
    <x v="13"/>
    <s v="Ahmedabad"/>
    <x v="2"/>
    <s v="Stationery"/>
    <x v="26"/>
    <n v="7"/>
    <n v="1051.49"/>
    <n v="0.2"/>
    <n v="113.45"/>
  </r>
  <r>
    <s v="ORD-1677"/>
    <x v="262"/>
    <s v="CUST-1180"/>
    <s v="Vikram Gupta"/>
    <x v="2"/>
    <x v="6"/>
    <s v="Faridabad"/>
    <x v="1"/>
    <s v="Phones"/>
    <x v="1"/>
    <n v="3"/>
    <n v="51863.9"/>
    <n v="0"/>
    <n v="6907.99"/>
  </r>
  <r>
    <s v="ORD-1350"/>
    <x v="262"/>
    <s v="CUST-1216"/>
    <s v="Nisha Nair"/>
    <x v="0"/>
    <x v="0"/>
    <s v="Kolkata"/>
    <x v="2"/>
    <s v="Paper"/>
    <x v="25"/>
    <n v="4"/>
    <n v="2108.48"/>
    <n v="0"/>
    <n v="396.02"/>
  </r>
  <r>
    <s v="ORD-1050"/>
    <x v="263"/>
    <s v="CUST-1034"/>
    <s v="Kavya Das"/>
    <x v="0"/>
    <x v="15"/>
    <s v="Bhubaneswar"/>
    <x v="1"/>
    <s v="Laptops"/>
    <x v="15"/>
    <n v="6"/>
    <n v="247254.99"/>
    <n v="0.05"/>
    <n v="21585.599999999999"/>
  </r>
  <r>
    <s v="ORD-1453"/>
    <x v="263"/>
    <s v="CUST-1105"/>
    <s v="Asha Sharma"/>
    <x v="2"/>
    <x v="14"/>
    <s v="Lucknow"/>
    <x v="0"/>
    <s v="Tables"/>
    <x v="5"/>
    <n v="2"/>
    <n v="18059.66"/>
    <n v="0.05"/>
    <n v="3492"/>
  </r>
  <r>
    <s v="ORD-1569"/>
    <x v="264"/>
    <s v="CUST-1153"/>
    <s v="Sanjay Das"/>
    <x v="1"/>
    <x v="3"/>
    <s v="Udaipur"/>
    <x v="1"/>
    <s v="Accessories"/>
    <x v="8"/>
    <n v="2"/>
    <n v="4686.3900000000003"/>
    <n v="0.1"/>
    <n v="276.7"/>
  </r>
  <r>
    <s v="ORD-1519"/>
    <x v="264"/>
    <s v="CUST-1022"/>
    <s v="Divya Singh"/>
    <x v="3"/>
    <x v="5"/>
    <s v="Warangal"/>
    <x v="2"/>
    <s v="Stationery"/>
    <x v="21"/>
    <n v="4"/>
    <n v="1279.9100000000001"/>
    <n v="0"/>
    <n v="252.99"/>
  </r>
  <r>
    <s v="ORD-1204"/>
    <x v="264"/>
    <s v="CUST-1212"/>
    <s v="Pooja Reddy"/>
    <x v="1"/>
    <x v="13"/>
    <s v="Ahmedabad"/>
    <x v="0"/>
    <s v="Tables"/>
    <x v="12"/>
    <n v="5"/>
    <n v="24660.58"/>
    <n v="0.15"/>
    <n v="1867.19"/>
  </r>
  <r>
    <s v="ORD-1280"/>
    <x v="264"/>
    <s v="CUST-1014"/>
    <s v="Priya Das"/>
    <x v="1"/>
    <x v="1"/>
    <s v="Nagpur"/>
    <x v="0"/>
    <s v="Tables"/>
    <x v="12"/>
    <n v="3"/>
    <n v="13182.12"/>
    <n v="0.15"/>
    <n v="2287.87"/>
  </r>
  <r>
    <s v="ORD-1987"/>
    <x v="264"/>
    <s v="CUST-1092"/>
    <s v="Divya Patel"/>
    <x v="1"/>
    <x v="3"/>
    <s v="Jaipur"/>
    <x v="0"/>
    <s v="Storage"/>
    <x v="20"/>
    <n v="7"/>
    <n v="34317.89"/>
    <n v="0"/>
    <n v="6445.08"/>
  </r>
  <r>
    <s v="ORD-1144"/>
    <x v="265"/>
    <s v="CUST-1078"/>
    <s v="Ananya Singh"/>
    <x v="0"/>
    <x v="0"/>
    <s v="Kolkata"/>
    <x v="2"/>
    <s v="Stationery"/>
    <x v="21"/>
    <n v="3"/>
    <n v="1026.73"/>
    <n v="0"/>
    <n v="126.59"/>
  </r>
  <r>
    <s v="ORD-1850"/>
    <x v="265"/>
    <s v="CUST-1209"/>
    <s v="Arjun Rao"/>
    <x v="0"/>
    <x v="7"/>
    <s v="Ranchi"/>
    <x v="2"/>
    <s v="Organizers"/>
    <x v="2"/>
    <n v="2"/>
    <n v="974.8"/>
    <n v="0.05"/>
    <n v="112.72"/>
  </r>
  <r>
    <s v="ORD-1641"/>
    <x v="265"/>
    <s v="CUST-1043"/>
    <s v="Isha Rao"/>
    <x v="0"/>
    <x v="15"/>
    <s v="Bhubaneswar"/>
    <x v="1"/>
    <s v="Laptops"/>
    <x v="9"/>
    <n v="1"/>
    <n v="58562.57"/>
    <n v="0.1"/>
    <n v="10777.12"/>
  </r>
  <r>
    <s v="ORD-1390"/>
    <x v="266"/>
    <s v="CUST-1133"/>
    <s v="Rohan Rao"/>
    <x v="2"/>
    <x v="12"/>
    <s v="New Delhi"/>
    <x v="0"/>
    <s v="Tables"/>
    <x v="5"/>
    <n v="6"/>
    <n v="54182.25"/>
    <n v="0.1"/>
    <n v="11506.88"/>
  </r>
  <r>
    <s v="ORD-1083"/>
    <x v="266"/>
    <s v="CUST-1096"/>
    <s v="Nisha Gupta"/>
    <x v="3"/>
    <x v="11"/>
    <s v="Thiruvananthapuram"/>
    <x v="1"/>
    <s v="Accessories"/>
    <x v="4"/>
    <n v="3"/>
    <n v="2315.83"/>
    <n v="0.15"/>
    <n v="369.95"/>
  </r>
  <r>
    <s v="ORD-1153"/>
    <x v="266"/>
    <s v="CUST-1098"/>
    <s v="Asha Gupta"/>
    <x v="2"/>
    <x v="2"/>
    <s v="Ludhiana"/>
    <x v="1"/>
    <s v="Accessories"/>
    <x v="24"/>
    <n v="6"/>
    <n v="8825.01"/>
    <n v="0"/>
    <n v="1106.04"/>
  </r>
  <r>
    <s v="ORD-1158"/>
    <x v="266"/>
    <s v="CUST-1158"/>
    <s v="Isha Rao"/>
    <x v="3"/>
    <x v="9"/>
    <s v="Chennai"/>
    <x v="2"/>
    <s v="Stationery"/>
    <x v="22"/>
    <n v="4"/>
    <n v="750.89"/>
    <n v="0.2"/>
    <n v="125.5"/>
  </r>
  <r>
    <s v="ORD-1774"/>
    <x v="266"/>
    <s v="CUST-1180"/>
    <s v="Divya Verma"/>
    <x v="3"/>
    <x v="9"/>
    <s v="Chennai"/>
    <x v="1"/>
    <s v="Laptops"/>
    <x v="15"/>
    <n v="6"/>
    <n v="263452.67"/>
    <n v="0.05"/>
    <n v="23422.11"/>
  </r>
  <r>
    <s v="ORD-1090"/>
    <x v="267"/>
    <s v="CUST-1115"/>
    <s v="Aditya Gupta"/>
    <x v="0"/>
    <x v="15"/>
    <s v="Bhubaneswar"/>
    <x v="0"/>
    <s v="Tables"/>
    <x v="5"/>
    <n v="2"/>
    <n v="19723.62"/>
    <n v="0"/>
    <n v="1477.37"/>
  </r>
  <r>
    <s v="ORD-1251"/>
    <x v="267"/>
    <s v="CUST-1018"/>
    <s v="Rahul Rao"/>
    <x v="1"/>
    <x v="3"/>
    <s v="Udaipur"/>
    <x v="1"/>
    <s v="Phones"/>
    <x v="18"/>
    <n v="5"/>
    <n v="206463.07"/>
    <n v="0"/>
    <n v="46979.7"/>
  </r>
  <r>
    <s v="ORD-1327"/>
    <x v="267"/>
    <s v="CUST-1182"/>
    <s v="Aditya Gupta"/>
    <x v="0"/>
    <x v="15"/>
    <s v="Cuttack"/>
    <x v="0"/>
    <s v="Tables"/>
    <x v="5"/>
    <n v="5"/>
    <n v="48051.81"/>
    <n v="0"/>
    <n v="5279.08"/>
  </r>
  <r>
    <s v="ORD-1498"/>
    <x v="267"/>
    <s v="CUST-1122"/>
    <s v="Meera Verma"/>
    <x v="1"/>
    <x v="8"/>
    <s v="Panaji"/>
    <x v="1"/>
    <s v="Laptops"/>
    <x v="15"/>
    <n v="5"/>
    <n v="203285.12"/>
    <n v="0.15"/>
    <n v="21936.74"/>
  </r>
  <r>
    <s v="ORD-1969"/>
    <x v="268"/>
    <s v="CUST-1144"/>
    <s v="Aarav Rao"/>
    <x v="3"/>
    <x v="9"/>
    <s v="Chennai"/>
    <x v="2"/>
    <s v="Stationery"/>
    <x v="26"/>
    <n v="6"/>
    <n v="1078.29"/>
    <n v="0.05"/>
    <n v="125"/>
  </r>
  <r>
    <s v="ORD-1476"/>
    <x v="268"/>
    <s v="CUST-1152"/>
    <s v="Manoj Verma"/>
    <x v="1"/>
    <x v="13"/>
    <s v="Surat"/>
    <x v="1"/>
    <s v="Laptops"/>
    <x v="9"/>
    <n v="7"/>
    <n v="402728.49"/>
    <n v="0"/>
    <n v="69363.320000000007"/>
  </r>
  <r>
    <s v="ORD-1353"/>
    <x v="268"/>
    <s v="CUST-1143"/>
    <s v="Nisha Patel"/>
    <x v="3"/>
    <x v="10"/>
    <s v="Visakhapatnam"/>
    <x v="1"/>
    <s v="Laptops"/>
    <x v="10"/>
    <n v="2"/>
    <n v="148557.48000000001"/>
    <n v="0.1"/>
    <n v="27936.09"/>
  </r>
  <r>
    <s v="ORD-1949"/>
    <x v="269"/>
    <s v="CUST-1015"/>
    <s v="Sneha Patel"/>
    <x v="0"/>
    <x v="0"/>
    <s v="Kolkata"/>
    <x v="0"/>
    <s v="Tables"/>
    <x v="5"/>
    <n v="3"/>
    <n v="25562.54"/>
    <n v="0.15"/>
    <n v="2976.65"/>
  </r>
  <r>
    <s v="ORD-1242"/>
    <x v="269"/>
    <s v="CUST-1065"/>
    <s v="Sanjay Nair"/>
    <x v="3"/>
    <x v="4"/>
    <s v="Mysuru"/>
    <x v="1"/>
    <s v="Accessories"/>
    <x v="24"/>
    <n v="6"/>
    <n v="7896.13"/>
    <n v="0.05"/>
    <n v="1223.79"/>
  </r>
  <r>
    <s v="ORD-1331"/>
    <x v="270"/>
    <s v="CUST-1072"/>
    <s v="Kavya Gupta"/>
    <x v="3"/>
    <x v="5"/>
    <s v="Hyderabad"/>
    <x v="0"/>
    <s v="Tables"/>
    <x v="5"/>
    <n v="4"/>
    <n v="36272.589999999997"/>
    <n v="0.05"/>
    <n v="8246.74"/>
  </r>
  <r>
    <s v="ORD-1739"/>
    <x v="270"/>
    <s v="CUST-1003"/>
    <s v="Sanjay Reddy"/>
    <x v="3"/>
    <x v="4"/>
    <s v="Mysuru"/>
    <x v="0"/>
    <s v="Storage"/>
    <x v="3"/>
    <n v="7"/>
    <n v="46050.89"/>
    <n v="0.1"/>
    <n v="8051.92"/>
  </r>
  <r>
    <s v="ORD-1666"/>
    <x v="271"/>
    <s v="CUST-1155"/>
    <s v="Rohan Patel"/>
    <x v="1"/>
    <x v="3"/>
    <s v="Udaipur"/>
    <x v="0"/>
    <s v="Tables"/>
    <x v="16"/>
    <n v="5"/>
    <n v="100878.39"/>
    <n v="0.1"/>
    <n v="9661.3700000000008"/>
  </r>
  <r>
    <s v="ORD-1509"/>
    <x v="272"/>
    <s v="CUST-1102"/>
    <s v="Meera Das"/>
    <x v="3"/>
    <x v="4"/>
    <s v="Bengaluru"/>
    <x v="0"/>
    <s v="Chairs"/>
    <x v="6"/>
    <n v="1"/>
    <n v="3215.29"/>
    <n v="0"/>
    <n v="604.5"/>
  </r>
  <r>
    <s v="ORD-1737"/>
    <x v="272"/>
    <s v="CUST-1233"/>
    <s v="Vikram Gupta"/>
    <x v="2"/>
    <x v="6"/>
    <s v="Faridabad"/>
    <x v="0"/>
    <s v="Chairs"/>
    <x v="6"/>
    <n v="6"/>
    <n v="16056.11"/>
    <n v="0.05"/>
    <n v="842.23"/>
  </r>
  <r>
    <s v="ORD-1463"/>
    <x v="272"/>
    <s v="CUST-1019"/>
    <s v="Sanjay Sharma"/>
    <x v="0"/>
    <x v="15"/>
    <s v="Cuttack"/>
    <x v="0"/>
    <s v="Tables"/>
    <x v="5"/>
    <n v="6"/>
    <n v="45197.64"/>
    <n v="0.2"/>
    <n v="4882.6400000000003"/>
  </r>
  <r>
    <s v="ORD-1025"/>
    <x v="273"/>
    <s v="CUST-1246"/>
    <s v="Pooja Das"/>
    <x v="3"/>
    <x v="5"/>
    <s v="Warangal"/>
    <x v="0"/>
    <s v="Storage"/>
    <x v="13"/>
    <n v="7"/>
    <n v="56783.33"/>
    <n v="0.1"/>
    <n v="9842.73"/>
  </r>
  <r>
    <s v="ORD-1315"/>
    <x v="274"/>
    <s v="CUST-1139"/>
    <s v="Varun Sharma"/>
    <x v="1"/>
    <x v="8"/>
    <s v="Panaji"/>
    <x v="1"/>
    <s v="Accessories"/>
    <x v="4"/>
    <n v="5"/>
    <n v="4445.8900000000003"/>
    <n v="0"/>
    <n v="993.26"/>
  </r>
  <r>
    <s v="ORD-1415"/>
    <x v="275"/>
    <s v="CUST-1249"/>
    <s v="Priya Kumar"/>
    <x v="2"/>
    <x v="6"/>
    <s v="Gurugram"/>
    <x v="1"/>
    <s v="Accessories"/>
    <x v="8"/>
    <n v="1"/>
    <n v="2194.12"/>
    <n v="0.05"/>
    <n v="242.16"/>
  </r>
  <r>
    <s v="ORD-1625"/>
    <x v="276"/>
    <s v="CUST-1057"/>
    <s v="Divya Reddy"/>
    <x v="2"/>
    <x v="6"/>
    <s v="Gurugram"/>
    <x v="0"/>
    <s v="Storage"/>
    <x v="20"/>
    <n v="3"/>
    <n v="15158.8"/>
    <n v="0.05"/>
    <n v="3203.45"/>
  </r>
  <r>
    <s v="ORD-1795"/>
    <x v="276"/>
    <s v="CUST-1029"/>
    <s v="Kiran Nair"/>
    <x v="3"/>
    <x v="10"/>
    <s v="Visakhapatnam"/>
    <x v="1"/>
    <s v="Phones"/>
    <x v="18"/>
    <n v="5"/>
    <n v="189682.6"/>
    <n v="0.1"/>
    <n v="34285.410000000003"/>
  </r>
  <r>
    <s v="ORD-1730"/>
    <x v="276"/>
    <s v="CUST-1087"/>
    <s v="Aarav Singh"/>
    <x v="2"/>
    <x v="6"/>
    <s v="Faridabad"/>
    <x v="2"/>
    <s v="Organizers"/>
    <x v="23"/>
    <n v="2"/>
    <n v="1210.9000000000001"/>
    <n v="0.05"/>
    <n v="82.98"/>
  </r>
  <r>
    <s v="ORD-1467"/>
    <x v="277"/>
    <s v="CUST-1228"/>
    <s v="Kavya Reddy"/>
    <x v="1"/>
    <x v="13"/>
    <s v="Ahmedabad"/>
    <x v="2"/>
    <s v="Stationery"/>
    <x v="26"/>
    <n v="6"/>
    <n v="1017.25"/>
    <n v="0.05"/>
    <n v="73.47"/>
  </r>
  <r>
    <s v="ORD-1886"/>
    <x v="277"/>
    <s v="CUST-1190"/>
    <s v="Aarav Das"/>
    <x v="1"/>
    <x v="1"/>
    <s v="Mumbai"/>
    <x v="2"/>
    <s v="Stationery"/>
    <x v="26"/>
    <n v="5"/>
    <n v="742.58"/>
    <n v="0.15"/>
    <n v="119.2"/>
  </r>
  <r>
    <s v="ORD-1651"/>
    <x v="277"/>
    <s v="CUST-1154"/>
    <s v="Sneha Verma"/>
    <x v="3"/>
    <x v="4"/>
    <s v="Mysuru"/>
    <x v="1"/>
    <s v="Phones"/>
    <x v="18"/>
    <n v="5"/>
    <n v="185438.86"/>
    <n v="0.1"/>
    <n v="16823.48"/>
  </r>
  <r>
    <s v="ORD-1883"/>
    <x v="277"/>
    <s v="CUST-1118"/>
    <s v="Pooja Rao"/>
    <x v="0"/>
    <x v="16"/>
    <s v="Patna"/>
    <x v="1"/>
    <s v="Phones"/>
    <x v="18"/>
    <n v="6"/>
    <n v="231599.32"/>
    <n v="0.05"/>
    <n v="41827.370000000003"/>
  </r>
  <r>
    <s v="ORD-1249"/>
    <x v="277"/>
    <s v="CUST-1103"/>
    <s v="Rohan Kumar"/>
    <x v="2"/>
    <x v="12"/>
    <s v="New Delhi"/>
    <x v="1"/>
    <s v="Phones"/>
    <x v="18"/>
    <n v="3"/>
    <n v="105202.29"/>
    <n v="0.1"/>
    <n v="11026.16"/>
  </r>
  <r>
    <s v="ORD-1447"/>
    <x v="278"/>
    <s v="CUST-1052"/>
    <s v="Divya Singh"/>
    <x v="1"/>
    <x v="3"/>
    <s v="Jaipur"/>
    <x v="2"/>
    <s v="Paper"/>
    <x v="25"/>
    <n v="7"/>
    <n v="3140.87"/>
    <n v="0.15"/>
    <n v="398.61"/>
  </r>
  <r>
    <s v="ORD-1413"/>
    <x v="279"/>
    <s v="CUST-1012"/>
    <s v="Sanjay Verma"/>
    <x v="3"/>
    <x v="5"/>
    <s v="Hyderabad"/>
    <x v="2"/>
    <s v="Stationery"/>
    <x v="26"/>
    <n v="4"/>
    <n v="771.38"/>
    <n v="0"/>
    <n v="163.22"/>
  </r>
  <r>
    <s v="ORD-1860"/>
    <x v="280"/>
    <s v="CUST-1176"/>
    <s v="Kavya Kumar"/>
    <x v="3"/>
    <x v="11"/>
    <s v="Thiruvananthapuram"/>
    <x v="1"/>
    <s v="Phones"/>
    <x v="11"/>
    <n v="3"/>
    <n v="76826.05"/>
    <n v="0.1"/>
    <n v="10624.2"/>
  </r>
  <r>
    <s v="ORD-1356"/>
    <x v="280"/>
    <s v="CUST-1030"/>
    <s v="Aditya Das"/>
    <x v="1"/>
    <x v="3"/>
    <s v="Jaipur"/>
    <x v="2"/>
    <s v="Stationery"/>
    <x v="26"/>
    <n v="1"/>
    <n v="159.94"/>
    <n v="0.15"/>
    <n v="24.94"/>
  </r>
  <r>
    <s v="ORD-1495"/>
    <x v="281"/>
    <s v="CUST-1019"/>
    <s v="Kiran Das"/>
    <x v="1"/>
    <x v="1"/>
    <s v="Pune"/>
    <x v="2"/>
    <s v="Organizers"/>
    <x v="2"/>
    <n v="5"/>
    <n v="2257.56"/>
    <n v="0"/>
    <n v="256.49"/>
  </r>
  <r>
    <s v="ORD-1617"/>
    <x v="282"/>
    <s v="CUST-1145"/>
    <s v="Priya Das"/>
    <x v="1"/>
    <x v="3"/>
    <s v="Jaipur"/>
    <x v="1"/>
    <s v="Laptops"/>
    <x v="15"/>
    <n v="6"/>
    <n v="258714.93"/>
    <n v="0.05"/>
    <n v="13010.31"/>
  </r>
  <r>
    <s v="ORD-1822"/>
    <x v="282"/>
    <s v="CUST-1144"/>
    <s v="Arjun Nair"/>
    <x v="3"/>
    <x v="10"/>
    <s v="Vijayawada"/>
    <x v="2"/>
    <s v="Organizers"/>
    <x v="14"/>
    <n v="3"/>
    <n v="1996.3"/>
    <n v="0.1"/>
    <n v="420.4"/>
  </r>
  <r>
    <s v="ORD-1489"/>
    <x v="282"/>
    <s v="CUST-1146"/>
    <s v="Aditya Kumar"/>
    <x v="3"/>
    <x v="4"/>
    <s v="Bengaluru"/>
    <x v="0"/>
    <s v="Chairs"/>
    <x v="6"/>
    <n v="4"/>
    <n v="12247.44"/>
    <n v="0"/>
    <n v="2146.59"/>
  </r>
  <r>
    <s v="ORD-1513"/>
    <x v="283"/>
    <s v="CUST-1035"/>
    <s v="Meera Nair"/>
    <x v="3"/>
    <x v="11"/>
    <s v="Kochi"/>
    <x v="1"/>
    <s v="Laptops"/>
    <x v="10"/>
    <n v="3"/>
    <n v="190678.55"/>
    <n v="0.15"/>
    <n v="8055.54"/>
  </r>
  <r>
    <s v="ORD-1592"/>
    <x v="283"/>
    <s v="CUST-1084"/>
    <s v="Divya Nair"/>
    <x v="3"/>
    <x v="11"/>
    <s v="Kochi"/>
    <x v="0"/>
    <s v="Chairs"/>
    <x v="19"/>
    <n v="2"/>
    <n v="23692.29"/>
    <n v="0.05"/>
    <n v="5297.54"/>
  </r>
  <r>
    <s v="ORD-1217"/>
    <x v="283"/>
    <s v="CUST-1126"/>
    <s v="Rohan Nair"/>
    <x v="3"/>
    <x v="9"/>
    <s v="Coimbatore"/>
    <x v="1"/>
    <s v="Laptops"/>
    <x v="10"/>
    <n v="5"/>
    <n v="353813.26"/>
    <n v="0.05"/>
    <n v="42961.22"/>
  </r>
  <r>
    <s v="ORD-1725"/>
    <x v="283"/>
    <s v="CUST-1074"/>
    <s v="Pooja Singh"/>
    <x v="1"/>
    <x v="13"/>
    <s v="Surat"/>
    <x v="0"/>
    <s v="Storage"/>
    <x v="20"/>
    <n v="1"/>
    <n v="4893.3999999999996"/>
    <n v="0"/>
    <n v="502.42"/>
  </r>
  <r>
    <s v="ORD-1992"/>
    <x v="284"/>
    <s v="CUST-1157"/>
    <s v="Varun Kumar"/>
    <x v="3"/>
    <x v="10"/>
    <s v="Vijayawada"/>
    <x v="1"/>
    <s v="Laptops"/>
    <x v="10"/>
    <n v="5"/>
    <n v="288246.58"/>
    <n v="0.2"/>
    <n v="21659.43"/>
  </r>
  <r>
    <s v="ORD-1624"/>
    <x v="284"/>
    <s v="CUST-1233"/>
    <s v="Isha Reddy"/>
    <x v="1"/>
    <x v="3"/>
    <s v="Udaipur"/>
    <x v="0"/>
    <s v="Chairs"/>
    <x v="19"/>
    <n v="1"/>
    <n v="10520.06"/>
    <n v="0.1"/>
    <n v="2138.0500000000002"/>
  </r>
  <r>
    <s v="ORD-1308"/>
    <x v="285"/>
    <s v="CUST-1065"/>
    <s v="Pooja Nair"/>
    <x v="2"/>
    <x v="6"/>
    <s v="Gurugram"/>
    <x v="2"/>
    <s v="Organizers"/>
    <x v="2"/>
    <n v="4"/>
    <n v="1692.4"/>
    <n v="0.15"/>
    <n v="263.18"/>
  </r>
  <r>
    <s v="ORD-1091"/>
    <x v="285"/>
    <s v="CUST-1033"/>
    <s v="Ananya Patel"/>
    <x v="1"/>
    <x v="3"/>
    <s v="Jaipur"/>
    <x v="2"/>
    <s v="Organizers"/>
    <x v="2"/>
    <n v="2"/>
    <n v="978.26"/>
    <n v="0.05"/>
    <n v="72.680000000000007"/>
  </r>
  <r>
    <s v="ORD-1252"/>
    <x v="286"/>
    <s v="CUST-1049"/>
    <s v="Isha Singh"/>
    <x v="2"/>
    <x v="12"/>
    <s v="New Delhi"/>
    <x v="0"/>
    <s v="Tables"/>
    <x v="5"/>
    <n v="1"/>
    <n v="7800.33"/>
    <n v="0.15"/>
    <n v="750.4"/>
  </r>
  <r>
    <s v="ORD-1225"/>
    <x v="286"/>
    <s v="CUST-1118"/>
    <s v="Ananya Sharma"/>
    <x v="1"/>
    <x v="8"/>
    <s v="Panaji"/>
    <x v="2"/>
    <s v="Organizers"/>
    <x v="23"/>
    <n v="7"/>
    <n v="4833.67"/>
    <n v="0"/>
    <n v="300.73"/>
  </r>
  <r>
    <s v="ORD-1935"/>
    <x v="286"/>
    <s v="CUST-1229"/>
    <s v="Kavya Das"/>
    <x v="1"/>
    <x v="13"/>
    <s v="Ahmedabad"/>
    <x v="0"/>
    <s v="Chairs"/>
    <x v="19"/>
    <n v="4"/>
    <n v="38498.31"/>
    <n v="0.15"/>
    <n v="6062.35"/>
  </r>
  <r>
    <s v="ORD-1334"/>
    <x v="286"/>
    <s v="CUST-1183"/>
    <s v="Isha Singh"/>
    <x v="1"/>
    <x v="13"/>
    <s v="Surat"/>
    <x v="1"/>
    <s v="Accessories"/>
    <x v="24"/>
    <n v="7"/>
    <n v="10432.1"/>
    <n v="0"/>
    <n v="1201.4000000000001"/>
  </r>
  <r>
    <s v="ORD-1132"/>
    <x v="286"/>
    <s v="CUST-1064"/>
    <s v="Asha Nair"/>
    <x v="3"/>
    <x v="5"/>
    <s v="Hyderabad"/>
    <x v="1"/>
    <s v="Laptops"/>
    <x v="15"/>
    <n v="1"/>
    <n v="43351.13"/>
    <n v="0.05"/>
    <n v="9569.5499999999993"/>
  </r>
  <r>
    <s v="ORD-1165"/>
    <x v="287"/>
    <s v="CUST-1120"/>
    <s v="Vikram Singh"/>
    <x v="2"/>
    <x v="2"/>
    <s v="Amritsar"/>
    <x v="1"/>
    <s v="Laptops"/>
    <x v="9"/>
    <n v="3"/>
    <n v="184908.43"/>
    <n v="0.05"/>
    <n v="28621.360000000001"/>
  </r>
  <r>
    <s v="ORD-1027"/>
    <x v="287"/>
    <s v="CUST-1058"/>
    <s v="Sanjay Patel"/>
    <x v="3"/>
    <x v="5"/>
    <s v="Warangal"/>
    <x v="0"/>
    <s v="Storage"/>
    <x v="13"/>
    <n v="3"/>
    <n v="24390.29"/>
    <n v="0.05"/>
    <n v="2477.5"/>
  </r>
  <r>
    <s v="ORD-1124"/>
    <x v="287"/>
    <s v="CUST-1022"/>
    <s v="Rahul Nair"/>
    <x v="0"/>
    <x v="7"/>
    <s v="Ranchi"/>
    <x v="2"/>
    <s v="Paper"/>
    <x v="17"/>
    <n v="3"/>
    <n v="1315.5"/>
    <n v="0.05"/>
    <n v="196.72"/>
  </r>
  <r>
    <s v="ORD-1882"/>
    <x v="287"/>
    <s v="CUST-1020"/>
    <s v="Priya Singh"/>
    <x v="1"/>
    <x v="1"/>
    <s v="Nagpur"/>
    <x v="0"/>
    <s v="Chairs"/>
    <x v="0"/>
    <n v="6"/>
    <n v="42111.25"/>
    <n v="0"/>
    <n v="7253.79"/>
  </r>
  <r>
    <s v="ORD-1323"/>
    <x v="288"/>
    <s v="CUST-1133"/>
    <s v="Manoj Singh"/>
    <x v="1"/>
    <x v="13"/>
    <s v="Ahmedabad"/>
    <x v="0"/>
    <s v="Storage"/>
    <x v="20"/>
    <n v="3"/>
    <n v="11696.46"/>
    <n v="0.2"/>
    <n v="1344.88"/>
  </r>
  <r>
    <s v="ORD-1382"/>
    <x v="289"/>
    <s v="CUST-1182"/>
    <s v="Asha Rao"/>
    <x v="3"/>
    <x v="5"/>
    <s v="Hyderabad"/>
    <x v="2"/>
    <s v="Organizers"/>
    <x v="14"/>
    <n v="2"/>
    <n v="1365.56"/>
    <n v="0.15"/>
    <n v="229.21"/>
  </r>
  <r>
    <s v="ORD-1559"/>
    <x v="289"/>
    <s v="CUST-1095"/>
    <s v="Isha Nair"/>
    <x v="1"/>
    <x v="1"/>
    <s v="Nagpur"/>
    <x v="0"/>
    <s v="Storage"/>
    <x v="20"/>
    <n v="2"/>
    <n v="9582.4"/>
    <n v="0"/>
    <n v="1060.1099999999999"/>
  </r>
  <r>
    <s v="ORD-1921"/>
    <x v="289"/>
    <s v="CUST-1065"/>
    <s v="Sanjay Nair"/>
    <x v="2"/>
    <x v="12"/>
    <s v="New Delhi"/>
    <x v="2"/>
    <s v="Organizers"/>
    <x v="14"/>
    <n v="2"/>
    <n v="1498.72"/>
    <n v="0.05"/>
    <n v="258.54000000000002"/>
  </r>
  <r>
    <s v="ORD-1003"/>
    <x v="289"/>
    <s v="CUST-1014"/>
    <s v="Divya Verma"/>
    <x v="1"/>
    <x v="3"/>
    <s v="Udaipur"/>
    <x v="0"/>
    <s v="Chairs"/>
    <x v="6"/>
    <n v="7"/>
    <n v="19538.57"/>
    <n v="0"/>
    <n v="4509.49"/>
  </r>
  <r>
    <s v="ORD-1388"/>
    <x v="290"/>
    <s v="CUST-1199"/>
    <s v="Nisha Sharma"/>
    <x v="2"/>
    <x v="14"/>
    <s v="Lucknow"/>
    <x v="0"/>
    <s v="Storage"/>
    <x v="13"/>
    <n v="6"/>
    <n v="48857.47"/>
    <n v="0.1"/>
    <n v="9317.48"/>
  </r>
  <r>
    <s v="ORD-1022"/>
    <x v="290"/>
    <s v="CUST-1048"/>
    <s v="Manoj Patel"/>
    <x v="1"/>
    <x v="13"/>
    <s v="Surat"/>
    <x v="0"/>
    <s v="Tables"/>
    <x v="12"/>
    <n v="6"/>
    <n v="30502.73"/>
    <n v="0.1"/>
    <n v="5964.81"/>
  </r>
  <r>
    <s v="ORD-1312"/>
    <x v="290"/>
    <s v="CUST-1248"/>
    <s v="Varun Nair"/>
    <x v="3"/>
    <x v="9"/>
    <s v="Coimbatore"/>
    <x v="1"/>
    <s v="Accessories"/>
    <x v="24"/>
    <n v="6"/>
    <n v="7494.85"/>
    <n v="0.15"/>
    <n v="1077.44"/>
  </r>
  <r>
    <s v="ORD-1927"/>
    <x v="291"/>
    <s v="CUST-1084"/>
    <s v="Sanjay Rao"/>
    <x v="1"/>
    <x v="13"/>
    <s v="Ahmedabad"/>
    <x v="0"/>
    <s v="Tables"/>
    <x v="12"/>
    <n v="6"/>
    <n v="28132.99"/>
    <n v="0.2"/>
    <n v="3755.58"/>
  </r>
  <r>
    <s v="ORD-1328"/>
    <x v="291"/>
    <s v="CUST-1235"/>
    <s v="Vikram Gupta"/>
    <x v="3"/>
    <x v="9"/>
    <s v="Coimbatore"/>
    <x v="2"/>
    <s v="Stationery"/>
    <x v="22"/>
    <n v="6"/>
    <n v="1222.33"/>
    <n v="0.2"/>
    <n v="78.63"/>
  </r>
  <r>
    <s v="ORD-1130"/>
    <x v="291"/>
    <s v="CUST-1246"/>
    <s v="Varun Gupta"/>
    <x v="0"/>
    <x v="16"/>
    <s v="Patna"/>
    <x v="0"/>
    <s v="Tables"/>
    <x v="5"/>
    <n v="2"/>
    <n v="20077.330000000002"/>
    <n v="0"/>
    <n v="2983.69"/>
  </r>
  <r>
    <s v="ORD-1076"/>
    <x v="292"/>
    <s v="CUST-1182"/>
    <s v="Manoj Gupta"/>
    <x v="0"/>
    <x v="16"/>
    <s v="Patna"/>
    <x v="1"/>
    <s v="Phones"/>
    <x v="1"/>
    <n v="2"/>
    <n v="28762.35"/>
    <n v="0.15"/>
    <n v="5630.27"/>
  </r>
  <r>
    <s v="ORD-1335"/>
    <x v="292"/>
    <s v="CUST-1247"/>
    <s v="Vikram Sharma"/>
    <x v="1"/>
    <x v="1"/>
    <s v="Pune"/>
    <x v="2"/>
    <s v="Paper"/>
    <x v="17"/>
    <n v="4"/>
    <n v="1618.67"/>
    <n v="0.15"/>
    <n v="140.01"/>
  </r>
  <r>
    <s v="ORD-1644"/>
    <x v="292"/>
    <s v="CUST-1221"/>
    <s v="Aditya Nair"/>
    <x v="1"/>
    <x v="1"/>
    <s v="Pune"/>
    <x v="1"/>
    <s v="Laptops"/>
    <x v="10"/>
    <n v="7"/>
    <n v="456458.84"/>
    <n v="0.2"/>
    <n v="10723.23"/>
  </r>
  <r>
    <s v="ORD-1262"/>
    <x v="293"/>
    <s v="CUST-1187"/>
    <s v="Meera Singh"/>
    <x v="3"/>
    <x v="9"/>
    <s v="Chennai"/>
    <x v="0"/>
    <s v="Storage"/>
    <x v="13"/>
    <n v="1"/>
    <n v="9113.94"/>
    <n v="0"/>
    <n v="2178.85"/>
  </r>
  <r>
    <s v="ORD-1967"/>
    <x v="293"/>
    <s v="CUST-1241"/>
    <s v="Priya Gupta"/>
    <x v="3"/>
    <x v="4"/>
    <s v="Mysuru"/>
    <x v="1"/>
    <s v="Laptops"/>
    <x v="9"/>
    <n v="2"/>
    <n v="105208.65"/>
    <n v="0.1"/>
    <n v="17555.46"/>
  </r>
  <r>
    <s v="ORD-1237"/>
    <x v="293"/>
    <s v="CUST-1126"/>
    <s v="Pooja Reddy"/>
    <x v="1"/>
    <x v="13"/>
    <s v="Ahmedabad"/>
    <x v="2"/>
    <s v="Paper"/>
    <x v="25"/>
    <n v="5"/>
    <n v="2913.7"/>
    <n v="0"/>
    <n v="451.33"/>
  </r>
  <r>
    <s v="ORD-1067"/>
    <x v="293"/>
    <s v="CUST-1150"/>
    <s v="Kavya Nair"/>
    <x v="0"/>
    <x v="7"/>
    <s v="Ranchi"/>
    <x v="0"/>
    <s v="Chairs"/>
    <x v="6"/>
    <n v="1"/>
    <n v="2942.03"/>
    <n v="0"/>
    <n v="667.14"/>
  </r>
  <r>
    <s v="ORD-1311"/>
    <x v="293"/>
    <s v="CUST-1040"/>
    <s v="Ananya Patel"/>
    <x v="1"/>
    <x v="1"/>
    <s v="Pune"/>
    <x v="0"/>
    <s v="Chairs"/>
    <x v="6"/>
    <n v="2"/>
    <n v="5444.74"/>
    <n v="0.05"/>
    <n v="615.77"/>
  </r>
  <r>
    <s v="ORD-1634"/>
    <x v="294"/>
    <s v="CUST-1042"/>
    <s v="Rohan Kumar"/>
    <x v="0"/>
    <x v="7"/>
    <s v="Ranchi"/>
    <x v="2"/>
    <s v="Stationery"/>
    <x v="22"/>
    <n v="3"/>
    <n v="651.71"/>
    <n v="0.15"/>
    <n v="119.67"/>
  </r>
  <r>
    <s v="ORD-1082"/>
    <x v="294"/>
    <s v="CUST-1057"/>
    <s v="Rahul Gupta"/>
    <x v="1"/>
    <x v="13"/>
    <s v="Ahmedabad"/>
    <x v="0"/>
    <s v="Chairs"/>
    <x v="6"/>
    <n v="7"/>
    <n v="21725.67"/>
    <n v="0"/>
    <n v="3880.34"/>
  </r>
  <r>
    <s v="ORD-1241"/>
    <x v="295"/>
    <s v="CUST-1194"/>
    <s v="Kiran Gupta"/>
    <x v="3"/>
    <x v="9"/>
    <s v="Chennai"/>
    <x v="2"/>
    <s v="Paper"/>
    <x v="7"/>
    <n v="7"/>
    <n v="1996.61"/>
    <n v="0.15"/>
    <n v="231.78"/>
  </r>
  <r>
    <s v="ORD-1532"/>
    <x v="295"/>
    <s v="CUST-1025"/>
    <s v="Rohan Singh"/>
    <x v="2"/>
    <x v="14"/>
    <s v="Noida"/>
    <x v="2"/>
    <s v="Stationery"/>
    <x v="22"/>
    <n v="7"/>
    <n v="1520.52"/>
    <n v="0.1"/>
    <n v="250.73"/>
  </r>
  <r>
    <s v="ORD-1587"/>
    <x v="296"/>
    <s v="CUST-1215"/>
    <s v="Vikram Das"/>
    <x v="0"/>
    <x v="16"/>
    <s v="Patna"/>
    <x v="0"/>
    <s v="Storage"/>
    <x v="13"/>
    <n v="2"/>
    <n v="14783.42"/>
    <n v="0.15"/>
    <n v="2175.09"/>
  </r>
  <r>
    <s v="ORD-1212"/>
    <x v="297"/>
    <s v="CUST-1035"/>
    <s v="Sanjay Reddy"/>
    <x v="2"/>
    <x v="12"/>
    <s v="New Delhi"/>
    <x v="1"/>
    <s v="Phones"/>
    <x v="18"/>
    <n v="4"/>
    <n v="157082.88"/>
    <n v="0"/>
    <n v="35144.6"/>
  </r>
  <r>
    <s v="ORD-1271"/>
    <x v="297"/>
    <s v="CUST-1122"/>
    <s v="Varun Kumar"/>
    <x v="0"/>
    <x v="7"/>
    <s v="Ranchi"/>
    <x v="0"/>
    <s v="Chairs"/>
    <x v="0"/>
    <n v="1"/>
    <n v="6267.68"/>
    <n v="0.05"/>
    <n v="350.4"/>
  </r>
  <r>
    <s v="ORD-1735"/>
    <x v="297"/>
    <s v="CUST-1025"/>
    <s v="Pooja Patel"/>
    <x v="1"/>
    <x v="8"/>
    <s v="Panaji"/>
    <x v="2"/>
    <s v="Stationery"/>
    <x v="21"/>
    <n v="6"/>
    <n v="1458.39"/>
    <n v="0.2"/>
    <n v="143.85"/>
  </r>
  <r>
    <s v="ORD-1032"/>
    <x v="298"/>
    <s v="CUST-1100"/>
    <s v="Priya Patel"/>
    <x v="1"/>
    <x v="13"/>
    <s v="Surat"/>
    <x v="0"/>
    <s v="Storage"/>
    <x v="3"/>
    <n v="6"/>
    <n v="39252.050000000003"/>
    <n v="0.05"/>
    <n v="6313.81"/>
  </r>
  <r>
    <s v="ORD-1486"/>
    <x v="298"/>
    <s v="CUST-1182"/>
    <s v="Asha Rao"/>
    <x v="0"/>
    <x v="16"/>
    <s v="Patna"/>
    <x v="1"/>
    <s v="Phones"/>
    <x v="11"/>
    <n v="5"/>
    <n v="123155.81"/>
    <n v="0.05"/>
    <n v="17360.75"/>
  </r>
  <r>
    <s v="ORD-1134"/>
    <x v="298"/>
    <s v="CUST-1161"/>
    <s v="Sanjay Kumar"/>
    <x v="0"/>
    <x v="0"/>
    <s v="Kolkata"/>
    <x v="0"/>
    <s v="Tables"/>
    <x v="12"/>
    <n v="1"/>
    <n v="5457.94"/>
    <n v="0"/>
    <n v="1244.94"/>
  </r>
  <r>
    <s v="ORD-1683"/>
    <x v="298"/>
    <s v="CUST-1186"/>
    <s v="Ananya Reddy"/>
    <x v="0"/>
    <x v="15"/>
    <s v="Bhubaneswar"/>
    <x v="1"/>
    <s v="Accessories"/>
    <x v="24"/>
    <n v="5"/>
    <n v="7363.48"/>
    <n v="0"/>
    <n v="1084.45"/>
  </r>
  <r>
    <s v="ORD-1289"/>
    <x v="299"/>
    <s v="CUST-1233"/>
    <s v="Ananya Reddy"/>
    <x v="2"/>
    <x v="2"/>
    <s v="Amritsar"/>
    <x v="1"/>
    <s v="Accessories"/>
    <x v="24"/>
    <n v="7"/>
    <n v="9375.44"/>
    <n v="0.1"/>
    <n v="1509.17"/>
  </r>
  <r>
    <s v="ORD-1871"/>
    <x v="299"/>
    <s v="CUST-1230"/>
    <s v="Rahul Patel"/>
    <x v="2"/>
    <x v="12"/>
    <s v="New Delhi"/>
    <x v="0"/>
    <s v="Tables"/>
    <x v="12"/>
    <n v="5"/>
    <n v="26829.279999999999"/>
    <n v="0.05"/>
    <n v="4383.5200000000004"/>
  </r>
  <r>
    <s v="ORD-1238"/>
    <x v="300"/>
    <s v="CUST-1030"/>
    <s v="Vikram Kumar"/>
    <x v="1"/>
    <x v="8"/>
    <s v="Panaji"/>
    <x v="1"/>
    <s v="Phones"/>
    <x v="11"/>
    <n v="7"/>
    <n v="149289.93"/>
    <n v="0.2"/>
    <n v="29714.18"/>
  </r>
  <r>
    <s v="ORD-1731"/>
    <x v="301"/>
    <s v="CUST-1228"/>
    <s v="Meera Gupta"/>
    <x v="1"/>
    <x v="8"/>
    <s v="Panaji"/>
    <x v="2"/>
    <s v="Stationery"/>
    <x v="21"/>
    <n v="6"/>
    <n v="1636.76"/>
    <n v="0.15"/>
    <n v="183.3"/>
  </r>
  <r>
    <s v="ORD-1448"/>
    <x v="301"/>
    <s v="CUST-1065"/>
    <s v="Sanjay Sharma"/>
    <x v="1"/>
    <x v="1"/>
    <s v="Nagpur"/>
    <x v="1"/>
    <s v="Laptops"/>
    <x v="10"/>
    <n v="3"/>
    <n v="249130.83"/>
    <n v="0"/>
    <n v="18026.3"/>
  </r>
  <r>
    <s v="ORD-1978"/>
    <x v="301"/>
    <s v="CUST-1167"/>
    <s v="Kavya Rao"/>
    <x v="1"/>
    <x v="1"/>
    <s v="Pune"/>
    <x v="1"/>
    <s v="Phones"/>
    <x v="1"/>
    <n v="1"/>
    <n v="16993.22"/>
    <n v="0.05"/>
    <n v="912.34"/>
  </r>
  <r>
    <s v="ORD-1207"/>
    <x v="301"/>
    <s v="CUST-1190"/>
    <s v="Rahul Kumar"/>
    <x v="2"/>
    <x v="2"/>
    <s v="Amritsar"/>
    <x v="1"/>
    <s v="Accessories"/>
    <x v="8"/>
    <n v="2"/>
    <n v="4719.87"/>
    <n v="0.05"/>
    <n v="970.51"/>
  </r>
  <r>
    <s v="ORD-1425"/>
    <x v="302"/>
    <s v="CUST-1129"/>
    <s v="Isha Kumar"/>
    <x v="3"/>
    <x v="10"/>
    <s v="Visakhapatnam"/>
    <x v="0"/>
    <s v="Chairs"/>
    <x v="19"/>
    <n v="5"/>
    <n v="50426.13"/>
    <n v="0.15"/>
    <n v="8319.0400000000009"/>
  </r>
  <r>
    <s v="ORD-1568"/>
    <x v="303"/>
    <s v="CUST-1024"/>
    <s v="Divya Sharma"/>
    <x v="3"/>
    <x v="5"/>
    <s v="Hyderabad"/>
    <x v="2"/>
    <s v="Paper"/>
    <x v="17"/>
    <n v="4"/>
    <n v="1734.96"/>
    <n v="0"/>
    <n v="204.05"/>
  </r>
  <r>
    <s v="ORD-1483"/>
    <x v="303"/>
    <s v="CUST-1052"/>
    <s v="Kiran Nair"/>
    <x v="0"/>
    <x v="7"/>
    <s v="Ranchi"/>
    <x v="1"/>
    <s v="Accessories"/>
    <x v="24"/>
    <n v="4"/>
    <n v="4823.04"/>
    <n v="0.15"/>
    <n v="611.17999999999995"/>
  </r>
  <r>
    <s v="ORD-1084"/>
    <x v="303"/>
    <s v="CUST-1007"/>
    <s v="Aarav Das"/>
    <x v="0"/>
    <x v="7"/>
    <s v="Ranchi"/>
    <x v="0"/>
    <s v="Chairs"/>
    <x v="19"/>
    <n v="5"/>
    <n v="55394.79"/>
    <n v="0.05"/>
    <n v="3636.47"/>
  </r>
  <r>
    <s v="ORD-1305"/>
    <x v="303"/>
    <s v="CUST-1168"/>
    <s v="Varun Verma"/>
    <x v="3"/>
    <x v="9"/>
    <s v="Coimbatore"/>
    <x v="1"/>
    <s v="Accessories"/>
    <x v="4"/>
    <n v="1"/>
    <n v="845.28"/>
    <n v="0.05"/>
    <n v="124.56"/>
  </r>
  <r>
    <s v="ORD-1034"/>
    <x v="303"/>
    <s v="CUST-1043"/>
    <s v="Meera Reddy"/>
    <x v="2"/>
    <x v="6"/>
    <s v="Faridabad"/>
    <x v="1"/>
    <s v="Phones"/>
    <x v="18"/>
    <n v="3"/>
    <n v="98963.06"/>
    <n v="0.2"/>
    <n v="19101.29"/>
  </r>
  <r>
    <s v="ORD-1294"/>
    <x v="304"/>
    <s v="CUST-1016"/>
    <s v="Divya Das"/>
    <x v="3"/>
    <x v="10"/>
    <s v="Vijayawada"/>
    <x v="1"/>
    <s v="Accessories"/>
    <x v="24"/>
    <n v="3"/>
    <n v="4434.1899999999996"/>
    <n v="0.05"/>
    <n v="705.97"/>
  </r>
  <r>
    <s v="ORD-1690"/>
    <x v="304"/>
    <s v="CUST-1158"/>
    <s v="Rahul Nair"/>
    <x v="0"/>
    <x v="7"/>
    <s v="Ranchi"/>
    <x v="0"/>
    <s v="Storage"/>
    <x v="20"/>
    <n v="4"/>
    <n v="19589.34"/>
    <n v="0.05"/>
    <n v="2704.86"/>
  </r>
  <r>
    <s v="ORD-1583"/>
    <x v="305"/>
    <s v="CUST-1057"/>
    <s v="Aditya Gupta"/>
    <x v="2"/>
    <x v="14"/>
    <s v="Noida"/>
    <x v="2"/>
    <s v="Organizers"/>
    <x v="14"/>
    <n v="3"/>
    <n v="1908.76"/>
    <n v="0.1"/>
    <n v="392.66"/>
  </r>
  <r>
    <s v="ORD-1603"/>
    <x v="305"/>
    <s v="CUST-1247"/>
    <s v="Sanjay Nair"/>
    <x v="0"/>
    <x v="0"/>
    <s v="Kolkata"/>
    <x v="0"/>
    <s v="Tables"/>
    <x v="5"/>
    <n v="5"/>
    <n v="46916.32"/>
    <n v="0.05"/>
    <n v="4104.71"/>
  </r>
  <r>
    <s v="ORD-1274"/>
    <x v="305"/>
    <s v="CUST-1038"/>
    <s v="Manoj Patel"/>
    <x v="0"/>
    <x v="16"/>
    <s v="Patna"/>
    <x v="1"/>
    <s v="Phones"/>
    <x v="1"/>
    <n v="4"/>
    <n v="66256.98"/>
    <n v="0"/>
    <n v="12673.77"/>
  </r>
  <r>
    <s v="ORD-1371"/>
    <x v="305"/>
    <s v="CUST-1121"/>
    <s v="Isha Reddy"/>
    <x v="3"/>
    <x v="9"/>
    <s v="Chennai"/>
    <x v="2"/>
    <s v="Paper"/>
    <x v="7"/>
    <n v="7"/>
    <n v="2344.7399999999998"/>
    <n v="0"/>
    <n v="507.2"/>
  </r>
  <r>
    <s v="ORD-1912"/>
    <x v="305"/>
    <s v="CUST-1165"/>
    <s v="Divya Patel"/>
    <x v="1"/>
    <x v="8"/>
    <s v="Panaji"/>
    <x v="0"/>
    <s v="Storage"/>
    <x v="13"/>
    <n v="6"/>
    <n v="46945.98"/>
    <n v="0.1"/>
    <n v="9745.2099999999991"/>
  </r>
  <r>
    <s v="ORD-1718"/>
    <x v="306"/>
    <s v="CUST-1016"/>
    <s v="Rohan Reddy"/>
    <x v="0"/>
    <x v="16"/>
    <s v="Patna"/>
    <x v="1"/>
    <s v="Laptops"/>
    <x v="9"/>
    <n v="5"/>
    <n v="312827.53999999998"/>
    <n v="0"/>
    <n v="69108.320000000007"/>
  </r>
  <r>
    <s v="ORD-1948"/>
    <x v="306"/>
    <s v="CUST-1182"/>
    <s v="Kavya Das"/>
    <x v="3"/>
    <x v="10"/>
    <s v="Tirupati"/>
    <x v="0"/>
    <s v="Chairs"/>
    <x v="19"/>
    <n v="4"/>
    <n v="40194.660000000003"/>
    <n v="0.1"/>
    <n v="3832.07"/>
  </r>
  <r>
    <s v="ORD-1701"/>
    <x v="306"/>
    <s v="CUST-1230"/>
    <s v="Sanjay Das"/>
    <x v="0"/>
    <x v="15"/>
    <s v="Bhubaneswar"/>
    <x v="2"/>
    <s v="Paper"/>
    <x v="25"/>
    <n v="1"/>
    <n v="430.73"/>
    <n v="0.2"/>
    <n v="37.57"/>
  </r>
  <r>
    <s v="ORD-1861"/>
    <x v="306"/>
    <s v="CUST-1001"/>
    <s v="Varun Patel"/>
    <x v="1"/>
    <x v="8"/>
    <s v="Panaji"/>
    <x v="1"/>
    <s v="Laptops"/>
    <x v="15"/>
    <n v="2"/>
    <n v="92227.54"/>
    <n v="0.05"/>
    <n v="8377.9"/>
  </r>
  <r>
    <s v="ORD-1820"/>
    <x v="307"/>
    <s v="CUST-1028"/>
    <s v="Isha Kumar"/>
    <x v="3"/>
    <x v="5"/>
    <s v="Hyderabad"/>
    <x v="0"/>
    <s v="Chairs"/>
    <x v="6"/>
    <n v="5"/>
    <n v="14042.47"/>
    <n v="0"/>
    <n v="2383.67"/>
  </r>
  <r>
    <s v="ORD-1455"/>
    <x v="307"/>
    <s v="CUST-1157"/>
    <s v="Rahul Kumar"/>
    <x v="3"/>
    <x v="9"/>
    <s v="Chennai"/>
    <x v="2"/>
    <s v="Paper"/>
    <x v="17"/>
    <n v="2"/>
    <n v="969.3"/>
    <n v="0"/>
    <n v="124.74"/>
  </r>
  <r>
    <s v="ORD-1403"/>
    <x v="307"/>
    <s v="CUST-1121"/>
    <s v="Divya Kumar"/>
    <x v="3"/>
    <x v="5"/>
    <s v="Hyderabad"/>
    <x v="1"/>
    <s v="Phones"/>
    <x v="18"/>
    <n v="4"/>
    <n v="141021.95000000001"/>
    <n v="0.1"/>
    <n v="20004.400000000001"/>
  </r>
  <r>
    <s v="ORD-1797"/>
    <x v="308"/>
    <s v="CUST-1095"/>
    <s v="Pooja Verma"/>
    <x v="0"/>
    <x v="15"/>
    <s v="Bhubaneswar"/>
    <x v="1"/>
    <s v="Laptops"/>
    <x v="15"/>
    <n v="1"/>
    <n v="43675.96"/>
    <n v="0"/>
    <n v="5957.78"/>
  </r>
  <r>
    <s v="ORD-1636"/>
    <x v="308"/>
    <s v="CUST-1008"/>
    <s v="Ananya Singh"/>
    <x v="2"/>
    <x v="14"/>
    <s v="Noida"/>
    <x v="1"/>
    <s v="Laptops"/>
    <x v="15"/>
    <n v="6"/>
    <n v="232419.01"/>
    <n v="0.2"/>
    <n v="14366.32"/>
  </r>
  <r>
    <s v="ORD-1452"/>
    <x v="308"/>
    <s v="CUST-1162"/>
    <s v="Nisha Patel"/>
    <x v="1"/>
    <x v="1"/>
    <s v="Pune"/>
    <x v="0"/>
    <s v="Chairs"/>
    <x v="0"/>
    <n v="3"/>
    <n v="15777.33"/>
    <n v="0.15"/>
    <n v="1280.3800000000001"/>
  </r>
  <r>
    <s v="ORD-1389"/>
    <x v="308"/>
    <s v="CUST-1043"/>
    <s v="Aarav Singh"/>
    <x v="0"/>
    <x v="16"/>
    <s v="Patna"/>
    <x v="0"/>
    <s v="Chairs"/>
    <x v="0"/>
    <n v="3"/>
    <n v="19203.580000000002"/>
    <n v="0.05"/>
    <n v="3655.74"/>
  </r>
  <r>
    <s v="ORD-1297"/>
    <x v="308"/>
    <s v="CUST-1092"/>
    <s v="Divya Reddy"/>
    <x v="2"/>
    <x v="2"/>
    <s v="Amritsar"/>
    <x v="2"/>
    <s v="Organizers"/>
    <x v="2"/>
    <n v="2"/>
    <n v="917.11"/>
    <n v="0.05"/>
    <n v="69.69"/>
  </r>
  <r>
    <s v="ORD-1454"/>
    <x v="308"/>
    <s v="CUST-1044"/>
    <s v="Aarav Patel"/>
    <x v="3"/>
    <x v="11"/>
    <s v="Thiruvananthapuram"/>
    <x v="1"/>
    <s v="Laptops"/>
    <x v="9"/>
    <n v="5"/>
    <n v="332360.61"/>
    <n v="0"/>
    <n v="32498.74"/>
  </r>
  <r>
    <s v="ORD-1281"/>
    <x v="309"/>
    <s v="CUST-1134"/>
    <s v="Kavya Kumar"/>
    <x v="3"/>
    <x v="9"/>
    <s v="Chennai"/>
    <x v="2"/>
    <s v="Stationery"/>
    <x v="26"/>
    <n v="1"/>
    <n v="160.18"/>
    <n v="0.1"/>
    <n v="15.31"/>
  </r>
  <r>
    <s v="ORD-1182"/>
    <x v="309"/>
    <s v="CUST-1186"/>
    <s v="Asha Patel"/>
    <x v="3"/>
    <x v="4"/>
    <s v="Bengaluru"/>
    <x v="0"/>
    <s v="Chairs"/>
    <x v="6"/>
    <n v="7"/>
    <n v="20404.3"/>
    <n v="0.05"/>
    <n v="1258.4100000000001"/>
  </r>
  <r>
    <s v="ORD-1490"/>
    <x v="309"/>
    <s v="CUST-1076"/>
    <s v="Asha Singh"/>
    <x v="1"/>
    <x v="1"/>
    <s v="Nagpur"/>
    <x v="1"/>
    <s v="Laptops"/>
    <x v="15"/>
    <n v="1"/>
    <n v="43146.32"/>
    <n v="0"/>
    <n v="4854.17"/>
  </r>
  <r>
    <s v="ORD-1367"/>
    <x v="310"/>
    <s v="CUST-1041"/>
    <s v="Manoj Singh"/>
    <x v="2"/>
    <x v="14"/>
    <s v="Noida"/>
    <x v="1"/>
    <s v="Accessories"/>
    <x v="24"/>
    <n v="3"/>
    <n v="4177.46"/>
    <n v="0.1"/>
    <n v="410.99"/>
  </r>
  <r>
    <s v="ORD-1785"/>
    <x v="310"/>
    <s v="CUST-1142"/>
    <s v="Vikram Rao"/>
    <x v="0"/>
    <x v="7"/>
    <s v="Ranchi"/>
    <x v="1"/>
    <s v="Laptops"/>
    <x v="15"/>
    <n v="5"/>
    <n v="207386.01"/>
    <n v="0.1"/>
    <n v="44425.24"/>
  </r>
  <r>
    <s v="ORD-1359"/>
    <x v="310"/>
    <s v="CUST-1240"/>
    <s v="Nisha Rao"/>
    <x v="3"/>
    <x v="9"/>
    <s v="Chennai"/>
    <x v="2"/>
    <s v="Paper"/>
    <x v="17"/>
    <n v="1"/>
    <n v="407.6"/>
    <n v="0.05"/>
    <n v="26.59"/>
  </r>
  <r>
    <s v="ORD-1416"/>
    <x v="311"/>
    <s v="CUST-1066"/>
    <s v="Isha Das"/>
    <x v="0"/>
    <x v="15"/>
    <s v="Cuttack"/>
    <x v="2"/>
    <s v="Organizers"/>
    <x v="2"/>
    <n v="5"/>
    <n v="2245.23"/>
    <n v="0"/>
    <n v="207.07"/>
  </r>
  <r>
    <s v="ORD-1657"/>
    <x v="311"/>
    <s v="CUST-1067"/>
    <s v="Isha Sharma"/>
    <x v="3"/>
    <x v="4"/>
    <s v="Bengaluru"/>
    <x v="1"/>
    <s v="Laptops"/>
    <x v="10"/>
    <n v="6"/>
    <n v="497673.56"/>
    <n v="0"/>
    <n v="66095.23"/>
  </r>
  <r>
    <s v="ORD-1020"/>
    <x v="311"/>
    <s v="CUST-1194"/>
    <s v="Rahul Nair"/>
    <x v="0"/>
    <x v="0"/>
    <s v="Kolkata"/>
    <x v="1"/>
    <s v="Laptops"/>
    <x v="9"/>
    <n v="3"/>
    <n v="189143.45"/>
    <n v="0.05"/>
    <n v="42606.36"/>
  </r>
  <r>
    <s v="ORD-1325"/>
    <x v="312"/>
    <s v="CUST-1065"/>
    <s v="Vikram Patel"/>
    <x v="0"/>
    <x v="0"/>
    <s v="Kolkata"/>
    <x v="0"/>
    <s v="Storage"/>
    <x v="3"/>
    <n v="3"/>
    <n v="19349.48"/>
    <n v="0.1"/>
    <n v="1732.78"/>
  </r>
  <r>
    <s v="ORD-1966"/>
    <x v="312"/>
    <s v="CUST-1111"/>
    <s v="Meera Nair"/>
    <x v="1"/>
    <x v="3"/>
    <s v="Jaipur"/>
    <x v="0"/>
    <s v="Chairs"/>
    <x v="19"/>
    <n v="6"/>
    <n v="63284.23"/>
    <n v="0.1"/>
    <n v="6331.63"/>
  </r>
  <r>
    <s v="ORD-1931"/>
    <x v="313"/>
    <s v="CUST-1106"/>
    <s v="Asha Verma"/>
    <x v="3"/>
    <x v="11"/>
    <s v="Thiruvananthapuram"/>
    <x v="1"/>
    <s v="Laptops"/>
    <x v="9"/>
    <n v="1"/>
    <n v="57341.99"/>
    <n v="0.1"/>
    <n v="6289.47"/>
  </r>
  <r>
    <s v="ORD-1352"/>
    <x v="313"/>
    <s v="CUST-1140"/>
    <s v="Ananya Das"/>
    <x v="2"/>
    <x v="14"/>
    <s v="Lucknow"/>
    <x v="1"/>
    <s v="Phones"/>
    <x v="1"/>
    <n v="4"/>
    <n v="67331.929999999993"/>
    <n v="0.05"/>
    <n v="14087.57"/>
  </r>
  <r>
    <s v="ORD-1757"/>
    <x v="313"/>
    <s v="CUST-1250"/>
    <s v="Priya Reddy"/>
    <x v="3"/>
    <x v="4"/>
    <s v="Mysuru"/>
    <x v="0"/>
    <s v="Chairs"/>
    <x v="0"/>
    <n v="1"/>
    <n v="6227.61"/>
    <n v="0"/>
    <n v="1293.1600000000001"/>
  </r>
  <r>
    <s v="ORD-1048"/>
    <x v="314"/>
    <s v="CUST-1026"/>
    <s v="Sanjay Sharma"/>
    <x v="0"/>
    <x v="15"/>
    <s v="Bhubaneswar"/>
    <x v="1"/>
    <s v="Accessories"/>
    <x v="4"/>
    <n v="6"/>
    <n v="4947.8599999999997"/>
    <n v="0.15"/>
    <n v="282.39999999999998"/>
  </r>
  <r>
    <s v="ORD-1689"/>
    <x v="314"/>
    <s v="CUST-1202"/>
    <s v="Pooja Das"/>
    <x v="3"/>
    <x v="5"/>
    <s v="Hyderabad"/>
    <x v="1"/>
    <s v="Laptops"/>
    <x v="10"/>
    <n v="1"/>
    <n v="72461.960000000006"/>
    <n v="0"/>
    <n v="5400.41"/>
  </r>
  <r>
    <s v="ORD-1380"/>
    <x v="314"/>
    <s v="CUST-1004"/>
    <s v="Vikram Verma"/>
    <x v="2"/>
    <x v="14"/>
    <s v="Lucknow"/>
    <x v="0"/>
    <s v="Tables"/>
    <x v="16"/>
    <n v="5"/>
    <n v="100803.84"/>
    <n v="0.05"/>
    <n v="7384.02"/>
  </r>
  <r>
    <s v="ORD-1484"/>
    <x v="314"/>
    <s v="CUST-1198"/>
    <s v="Aarav Patel"/>
    <x v="3"/>
    <x v="5"/>
    <s v="Hyderabad"/>
    <x v="1"/>
    <s v="Accessories"/>
    <x v="8"/>
    <n v="4"/>
    <n v="8713.39"/>
    <n v="0.1"/>
    <n v="637.19000000000005"/>
  </r>
  <r>
    <s v="ORD-1136"/>
    <x v="314"/>
    <s v="CUST-1129"/>
    <s v="Kavya Rao"/>
    <x v="1"/>
    <x v="13"/>
    <s v="Surat"/>
    <x v="1"/>
    <s v="Laptops"/>
    <x v="15"/>
    <n v="4"/>
    <n v="154272.04"/>
    <n v="0.1"/>
    <n v="24871.4"/>
  </r>
  <r>
    <s v="ORD-1232"/>
    <x v="314"/>
    <s v="CUST-1008"/>
    <s v="Arjun Sharma"/>
    <x v="1"/>
    <x v="8"/>
    <s v="Panaji"/>
    <x v="2"/>
    <s v="Organizers"/>
    <x v="2"/>
    <n v="6"/>
    <n v="2642.04"/>
    <n v="0.1"/>
    <n v="201.42"/>
  </r>
  <r>
    <s v="ORD-1041"/>
    <x v="315"/>
    <s v="CUST-1244"/>
    <s v="Sanjay Das"/>
    <x v="3"/>
    <x v="5"/>
    <s v="Hyderabad"/>
    <x v="2"/>
    <s v="Stationery"/>
    <x v="26"/>
    <n v="5"/>
    <n v="911.71"/>
    <n v="0"/>
    <n v="196.35"/>
  </r>
  <r>
    <s v="ORD-1649"/>
    <x v="315"/>
    <s v="CUST-1209"/>
    <s v="Ananya Sharma"/>
    <x v="0"/>
    <x v="15"/>
    <s v="Cuttack"/>
    <x v="0"/>
    <s v="Chairs"/>
    <x v="6"/>
    <n v="4"/>
    <n v="11254.2"/>
    <n v="0.1"/>
    <n v="2000.42"/>
  </r>
  <r>
    <s v="ORD-1530"/>
    <x v="315"/>
    <s v="CUST-1071"/>
    <s v="Rohan Gupta"/>
    <x v="1"/>
    <x v="1"/>
    <s v="Nagpur"/>
    <x v="0"/>
    <s v="Tables"/>
    <x v="12"/>
    <n v="6"/>
    <n v="31353.87"/>
    <n v="0"/>
    <n v="2921.08"/>
  </r>
  <r>
    <s v="ORD-1478"/>
    <x v="316"/>
    <s v="CUST-1221"/>
    <s v="Vikram Gupta"/>
    <x v="3"/>
    <x v="10"/>
    <s v="Visakhapatnam"/>
    <x v="1"/>
    <s v="Laptops"/>
    <x v="15"/>
    <n v="3"/>
    <n v="112956.36"/>
    <n v="0.15"/>
    <n v="12028.91"/>
  </r>
  <r>
    <s v="ORD-1419"/>
    <x v="316"/>
    <s v="CUST-1054"/>
    <s v="Pooja Kumar"/>
    <x v="0"/>
    <x v="0"/>
    <s v="Kolkata"/>
    <x v="2"/>
    <s v="Organizers"/>
    <x v="2"/>
    <n v="7"/>
    <n v="3216.82"/>
    <n v="0.05"/>
    <n v="394.04"/>
  </r>
  <r>
    <s v="ORD-1391"/>
    <x v="316"/>
    <s v="CUST-1096"/>
    <s v="Aditya Das"/>
    <x v="0"/>
    <x v="16"/>
    <s v="Patna"/>
    <x v="1"/>
    <s v="Phones"/>
    <x v="1"/>
    <n v="4"/>
    <n v="70731.649999999994"/>
    <n v="0"/>
    <n v="10355.719999999999"/>
  </r>
  <r>
    <s v="ORD-1102"/>
    <x v="317"/>
    <s v="CUST-1011"/>
    <s v="Kiran Reddy"/>
    <x v="2"/>
    <x v="14"/>
    <s v="Lucknow"/>
    <x v="2"/>
    <s v="Stationery"/>
    <x v="26"/>
    <n v="3"/>
    <n v="523.51"/>
    <n v="0.1"/>
    <n v="104.26"/>
  </r>
  <r>
    <s v="ORD-1711"/>
    <x v="317"/>
    <s v="CUST-1072"/>
    <s v="Sneha Rao"/>
    <x v="1"/>
    <x v="13"/>
    <s v="Surat"/>
    <x v="2"/>
    <s v="Organizers"/>
    <x v="23"/>
    <n v="7"/>
    <n v="4095.2"/>
    <n v="0.1"/>
    <n v="822.88"/>
  </r>
  <r>
    <s v="ORD-1300"/>
    <x v="317"/>
    <s v="CUST-1153"/>
    <s v="Kiran Das"/>
    <x v="3"/>
    <x v="11"/>
    <s v="Kochi"/>
    <x v="1"/>
    <s v="Accessories"/>
    <x v="24"/>
    <n v="7"/>
    <n v="10362.08"/>
    <n v="0.05"/>
    <n v="661.04"/>
  </r>
  <r>
    <s v="ORD-1582"/>
    <x v="317"/>
    <s v="CUST-1006"/>
    <s v="Divya Gupta"/>
    <x v="3"/>
    <x v="11"/>
    <s v="Kochi"/>
    <x v="0"/>
    <s v="Tables"/>
    <x v="5"/>
    <n v="4"/>
    <n v="35055.43"/>
    <n v="0"/>
    <n v="4375.55"/>
  </r>
  <r>
    <s v="ORD-1227"/>
    <x v="317"/>
    <s v="CUST-1187"/>
    <s v="Rahul Patel"/>
    <x v="2"/>
    <x v="12"/>
    <s v="New Delhi"/>
    <x v="0"/>
    <s v="Tables"/>
    <x v="12"/>
    <n v="7"/>
    <n v="32657.23"/>
    <n v="0.1"/>
    <n v="4160.7299999999996"/>
  </r>
  <r>
    <s v="ORD-1760"/>
    <x v="318"/>
    <s v="CUST-1072"/>
    <s v="Aditya Patel"/>
    <x v="3"/>
    <x v="11"/>
    <s v="Kochi"/>
    <x v="1"/>
    <s v="Phones"/>
    <x v="11"/>
    <n v="7"/>
    <n v="185325.21"/>
    <n v="0.1"/>
    <n v="40379.99"/>
  </r>
  <r>
    <s v="ORD-1320"/>
    <x v="319"/>
    <s v="CUST-1163"/>
    <s v="Varun Sharma"/>
    <x v="2"/>
    <x v="2"/>
    <s v="Ludhiana"/>
    <x v="2"/>
    <s v="Organizers"/>
    <x v="23"/>
    <n v="7"/>
    <n v="3975.33"/>
    <n v="0.15"/>
    <n v="123.35"/>
  </r>
  <r>
    <s v="ORD-1421"/>
    <x v="319"/>
    <s v="CUST-1045"/>
    <s v="Meera Reddy"/>
    <x v="1"/>
    <x v="8"/>
    <s v="Panaji"/>
    <x v="0"/>
    <s v="Chairs"/>
    <x v="6"/>
    <n v="2"/>
    <n v="5107.5"/>
    <n v="0.1"/>
    <n v="637.99"/>
  </r>
  <r>
    <s v="ORD-1930"/>
    <x v="320"/>
    <s v="CUST-1032"/>
    <s v="Asha Gupta"/>
    <x v="0"/>
    <x v="16"/>
    <s v="Patna"/>
    <x v="1"/>
    <s v="Laptops"/>
    <x v="15"/>
    <n v="5"/>
    <n v="236663.29"/>
    <n v="0"/>
    <n v="43043.9"/>
  </r>
  <r>
    <s v="ORD-1411"/>
    <x v="320"/>
    <s v="CUST-1147"/>
    <s v="Rahul Gupta"/>
    <x v="1"/>
    <x v="8"/>
    <s v="Panaji"/>
    <x v="1"/>
    <s v="Laptops"/>
    <x v="15"/>
    <n v="7"/>
    <n v="278288.25"/>
    <n v="0.1"/>
    <n v="53950.36"/>
  </r>
  <r>
    <s v="ORD-1440"/>
    <x v="320"/>
    <s v="CUST-1098"/>
    <s v="Divya Rao"/>
    <x v="3"/>
    <x v="11"/>
    <s v="Thiruvananthapuram"/>
    <x v="2"/>
    <s v="Stationery"/>
    <x v="26"/>
    <n v="1"/>
    <n v="172.96"/>
    <n v="0"/>
    <n v="26.8"/>
  </r>
  <r>
    <s v="ORD-1409"/>
    <x v="321"/>
    <s v="CUST-1142"/>
    <s v="Vikram Kumar"/>
    <x v="2"/>
    <x v="2"/>
    <s v="Ludhiana"/>
    <x v="2"/>
    <s v="Paper"/>
    <x v="25"/>
    <n v="1"/>
    <n v="481.92"/>
    <n v="0.05"/>
    <n v="45.56"/>
  </r>
  <r>
    <s v="ORD-1384"/>
    <x v="322"/>
    <s v="CUST-1249"/>
    <s v="Priya Patel"/>
    <x v="3"/>
    <x v="10"/>
    <s v="Visakhapatnam"/>
    <x v="1"/>
    <s v="Phones"/>
    <x v="11"/>
    <n v="4"/>
    <n v="105809.9"/>
    <n v="0.05"/>
    <n v="5551.09"/>
  </r>
  <r>
    <s v="ORD-1234"/>
    <x v="322"/>
    <s v="CUST-1070"/>
    <s v="Ananya Rao"/>
    <x v="3"/>
    <x v="10"/>
    <s v="Vijayawada"/>
    <x v="2"/>
    <s v="Paper"/>
    <x v="7"/>
    <n v="3"/>
    <n v="1074.27"/>
    <n v="0.05"/>
    <n v="147.19"/>
  </r>
  <r>
    <s v="ORD-1815"/>
    <x v="323"/>
    <s v="CUST-1140"/>
    <s v="Priya Verma"/>
    <x v="1"/>
    <x v="3"/>
    <s v="Jaipur"/>
    <x v="1"/>
    <s v="Laptops"/>
    <x v="10"/>
    <n v="5"/>
    <n v="352334.28"/>
    <n v="0.1"/>
    <n v="15645.91"/>
  </r>
  <r>
    <s v="ORD-1702"/>
    <x v="323"/>
    <s v="CUST-1205"/>
    <s v="Asha Verma"/>
    <x v="0"/>
    <x v="16"/>
    <s v="Patna"/>
    <x v="1"/>
    <s v="Phones"/>
    <x v="1"/>
    <n v="6"/>
    <n v="94721.08"/>
    <n v="0.05"/>
    <n v="14668.73"/>
  </r>
  <r>
    <s v="ORD-1845"/>
    <x v="323"/>
    <s v="CUST-1094"/>
    <s v="Nisha Kumar"/>
    <x v="2"/>
    <x v="14"/>
    <s v="Noida"/>
    <x v="0"/>
    <s v="Storage"/>
    <x v="3"/>
    <n v="1"/>
    <n v="6197"/>
    <n v="0.05"/>
    <n v="425.61"/>
  </r>
  <r>
    <s v="ORD-1638"/>
    <x v="324"/>
    <s v="CUST-1231"/>
    <s v="Isha Rao"/>
    <x v="1"/>
    <x v="8"/>
    <s v="Panaji"/>
    <x v="1"/>
    <s v="Phones"/>
    <x v="11"/>
    <n v="7"/>
    <n v="164454.18"/>
    <n v="0.2"/>
    <n v="28467.75"/>
  </r>
  <r>
    <s v="ORD-1111"/>
    <x v="324"/>
    <s v="CUST-1188"/>
    <s v="Kiran Kumar"/>
    <x v="1"/>
    <x v="1"/>
    <s v="Mumbai"/>
    <x v="1"/>
    <s v="Laptops"/>
    <x v="15"/>
    <n v="6"/>
    <n v="258956.01"/>
    <n v="0.05"/>
    <n v="18347.52"/>
  </r>
  <r>
    <s v="ORD-1639"/>
    <x v="324"/>
    <s v="CUST-1141"/>
    <s v="Nisha Verma"/>
    <x v="3"/>
    <x v="11"/>
    <s v="Kochi"/>
    <x v="0"/>
    <s v="Storage"/>
    <x v="3"/>
    <n v="4"/>
    <n v="21729.24"/>
    <n v="0.2"/>
    <n v="818.06"/>
  </r>
  <r>
    <s v="ORD-1230"/>
    <x v="324"/>
    <s v="CUST-1160"/>
    <s v="Kiran Kumar"/>
    <x v="1"/>
    <x v="1"/>
    <s v="Mumbai"/>
    <x v="0"/>
    <s v="Tables"/>
    <x v="12"/>
    <n v="6"/>
    <n v="34787.54"/>
    <n v="0"/>
    <n v="4317.6000000000004"/>
  </r>
  <r>
    <s v="ORD-1864"/>
    <x v="325"/>
    <s v="CUST-1196"/>
    <s v="Aarav Gupta"/>
    <x v="2"/>
    <x v="6"/>
    <s v="Faridabad"/>
    <x v="1"/>
    <s v="Accessories"/>
    <x v="8"/>
    <n v="6"/>
    <n v="11990.1"/>
    <n v="0.15"/>
    <n v="560.48"/>
  </r>
  <r>
    <s v="ORD-1370"/>
    <x v="325"/>
    <s v="CUST-1116"/>
    <s v="Pooja Reddy"/>
    <x v="1"/>
    <x v="1"/>
    <s v="Pune"/>
    <x v="2"/>
    <s v="Stationery"/>
    <x v="22"/>
    <n v="2"/>
    <n v="498.18"/>
    <n v="0.05"/>
    <n v="29.61"/>
  </r>
  <r>
    <s v="ORD-1909"/>
    <x v="326"/>
    <s v="CUST-1025"/>
    <s v="Aditya Verma"/>
    <x v="3"/>
    <x v="10"/>
    <s v="Visakhapatnam"/>
    <x v="0"/>
    <s v="Tables"/>
    <x v="12"/>
    <n v="2"/>
    <n v="9973.6200000000008"/>
    <n v="0.05"/>
    <n v="986.74"/>
  </r>
  <r>
    <s v="ORD-1125"/>
    <x v="326"/>
    <s v="CUST-1173"/>
    <s v="Kavya Das"/>
    <x v="3"/>
    <x v="9"/>
    <s v="Coimbatore"/>
    <x v="1"/>
    <s v="Accessories"/>
    <x v="4"/>
    <n v="1"/>
    <n v="730.63"/>
    <n v="0.15"/>
    <n v="150.26"/>
  </r>
  <r>
    <s v="ORD-1848"/>
    <x v="326"/>
    <s v="CUST-1026"/>
    <s v="Priya Gupta"/>
    <x v="0"/>
    <x v="15"/>
    <s v="Cuttack"/>
    <x v="0"/>
    <s v="Tables"/>
    <x v="5"/>
    <n v="4"/>
    <n v="34144.339999999997"/>
    <n v="0.1"/>
    <n v="4545.8999999999996"/>
  </r>
  <r>
    <s v="ORD-1895"/>
    <x v="326"/>
    <s v="CUST-1168"/>
    <s v="Aarav Reddy"/>
    <x v="2"/>
    <x v="6"/>
    <s v="Faridabad"/>
    <x v="1"/>
    <s v="Accessories"/>
    <x v="4"/>
    <n v="6"/>
    <n v="4998.8999999999996"/>
    <n v="0.05"/>
    <n v="808.57"/>
  </r>
  <r>
    <s v="ORD-1621"/>
    <x v="326"/>
    <s v="CUST-1216"/>
    <s v="Meera Das"/>
    <x v="1"/>
    <x v="1"/>
    <s v="Mumbai"/>
    <x v="2"/>
    <s v="Organizers"/>
    <x v="23"/>
    <n v="1"/>
    <n v="593.63"/>
    <n v="0.05"/>
    <n v="117.15"/>
  </r>
  <r>
    <s v="ORD-1105"/>
    <x v="327"/>
    <s v="CUST-1098"/>
    <s v="Aditya Nair"/>
    <x v="2"/>
    <x v="2"/>
    <s v="Amritsar"/>
    <x v="1"/>
    <s v="Accessories"/>
    <x v="24"/>
    <n v="5"/>
    <n v="7544.37"/>
    <n v="0"/>
    <n v="1257.8699999999999"/>
  </r>
  <r>
    <s v="ORD-1441"/>
    <x v="327"/>
    <s v="CUST-1206"/>
    <s v="Asha Singh"/>
    <x v="1"/>
    <x v="8"/>
    <s v="Panaji"/>
    <x v="0"/>
    <s v="Chairs"/>
    <x v="0"/>
    <n v="6"/>
    <n v="38355.75"/>
    <n v="0"/>
    <n v="5573.9"/>
  </r>
  <r>
    <s v="ORD-1523"/>
    <x v="328"/>
    <s v="CUST-1186"/>
    <s v="Aditya Sharma"/>
    <x v="0"/>
    <x v="15"/>
    <s v="Bhubaneswar"/>
    <x v="1"/>
    <s v="Accessories"/>
    <x v="24"/>
    <n v="3"/>
    <n v="3887.97"/>
    <n v="0.15"/>
    <n v="574.49"/>
  </r>
  <r>
    <s v="ORD-1965"/>
    <x v="328"/>
    <s v="CUST-1122"/>
    <s v="Vikram Verma"/>
    <x v="1"/>
    <x v="3"/>
    <s v="Jaipur"/>
    <x v="2"/>
    <s v="Organizers"/>
    <x v="23"/>
    <n v="6"/>
    <n v="3184.41"/>
    <n v="0.15"/>
    <n v="337.69"/>
  </r>
  <r>
    <s v="ORD-1009"/>
    <x v="329"/>
    <s v="CUST-1027"/>
    <s v="Rohan Verma"/>
    <x v="0"/>
    <x v="0"/>
    <s v="Kolkata"/>
    <x v="0"/>
    <s v="Storage"/>
    <x v="13"/>
    <n v="3"/>
    <n v="21887.51"/>
    <n v="0.15"/>
    <n v="3694.04"/>
  </r>
  <r>
    <s v="ORD-1891"/>
    <x v="329"/>
    <s v="CUST-1192"/>
    <s v="Kiran Reddy"/>
    <x v="3"/>
    <x v="4"/>
    <s v="Mysuru"/>
    <x v="0"/>
    <s v="Tables"/>
    <x v="12"/>
    <n v="6"/>
    <n v="30458.85"/>
    <n v="0.05"/>
    <n v="4869.4799999999996"/>
  </r>
  <r>
    <s v="ORD-1181"/>
    <x v="329"/>
    <s v="CUST-1149"/>
    <s v="Isha Rao"/>
    <x v="1"/>
    <x v="13"/>
    <s v="Surat"/>
    <x v="0"/>
    <s v="Tables"/>
    <x v="5"/>
    <n v="3"/>
    <n v="29243.47"/>
    <n v="0"/>
    <n v="1764.5"/>
  </r>
  <r>
    <s v="ORD-1185"/>
    <x v="329"/>
    <s v="CUST-1137"/>
    <s v="Pooja Singh"/>
    <x v="0"/>
    <x v="0"/>
    <s v="Kolkata"/>
    <x v="1"/>
    <s v="Laptops"/>
    <x v="10"/>
    <n v="3"/>
    <n v="227149"/>
    <n v="0.1"/>
    <n v="39637.39"/>
  </r>
  <r>
    <s v="ORD-1549"/>
    <x v="329"/>
    <s v="CUST-1098"/>
    <s v="Divya Singh"/>
    <x v="1"/>
    <x v="13"/>
    <s v="Surat"/>
    <x v="0"/>
    <s v="Storage"/>
    <x v="13"/>
    <n v="1"/>
    <n v="7122.05"/>
    <n v="0.15"/>
    <n v="988.36"/>
  </r>
  <r>
    <s v="ORD-1974"/>
    <x v="329"/>
    <s v="CUST-1038"/>
    <s v="Rahul Patel"/>
    <x v="0"/>
    <x v="0"/>
    <s v="Kolkata"/>
    <x v="1"/>
    <s v="Phones"/>
    <x v="11"/>
    <n v="4"/>
    <n v="110535.29"/>
    <n v="0"/>
    <n v="17760.18"/>
  </r>
  <r>
    <s v="ORD-1073"/>
    <x v="330"/>
    <s v="CUST-1038"/>
    <s v="Sneha Gupta"/>
    <x v="2"/>
    <x v="2"/>
    <s v="Amritsar"/>
    <x v="0"/>
    <s v="Storage"/>
    <x v="13"/>
    <n v="3"/>
    <n v="24150.01"/>
    <n v="0.1"/>
    <n v="5135.1000000000004"/>
  </r>
  <r>
    <s v="ORD-1138"/>
    <x v="331"/>
    <s v="CUST-1090"/>
    <s v="Priya Reddy"/>
    <x v="2"/>
    <x v="6"/>
    <s v="Faridabad"/>
    <x v="2"/>
    <s v="Stationery"/>
    <x v="26"/>
    <n v="3"/>
    <n v="454.59"/>
    <n v="0.2"/>
    <n v="63.67"/>
  </r>
  <r>
    <s v="ORD-1426"/>
    <x v="331"/>
    <s v="CUST-1048"/>
    <s v="Aditya Das"/>
    <x v="3"/>
    <x v="4"/>
    <s v="Mysuru"/>
    <x v="1"/>
    <s v="Laptops"/>
    <x v="15"/>
    <n v="5"/>
    <n v="205404.77"/>
    <n v="0.1"/>
    <n v="10707.31"/>
  </r>
  <r>
    <s v="ORD-1561"/>
    <x v="332"/>
    <s v="CUST-1123"/>
    <s v="Sneha Das"/>
    <x v="3"/>
    <x v="11"/>
    <s v="Kochi"/>
    <x v="0"/>
    <s v="Tables"/>
    <x v="12"/>
    <n v="6"/>
    <n v="29445.48"/>
    <n v="0.15"/>
    <n v="3005.33"/>
  </r>
  <r>
    <s v="ORD-1602"/>
    <x v="332"/>
    <s v="CUST-1125"/>
    <s v="Sanjay Reddy"/>
    <x v="3"/>
    <x v="10"/>
    <s v="Tirupati"/>
    <x v="0"/>
    <s v="Chairs"/>
    <x v="19"/>
    <n v="4"/>
    <n v="45586.79"/>
    <n v="0.05"/>
    <n v="4983.34"/>
  </r>
  <r>
    <s v="ORD-1202"/>
    <x v="333"/>
    <s v="CUST-1108"/>
    <s v="Rohan Singh"/>
    <x v="3"/>
    <x v="11"/>
    <s v="Kochi"/>
    <x v="2"/>
    <s v="Paper"/>
    <x v="25"/>
    <n v="3"/>
    <n v="1512.02"/>
    <n v="0.15"/>
    <n v="290.66000000000003"/>
  </r>
  <r>
    <s v="ORD-1586"/>
    <x v="333"/>
    <s v="CUST-1112"/>
    <s v="Vikram Rao"/>
    <x v="1"/>
    <x v="3"/>
    <s v="Udaipur"/>
    <x v="2"/>
    <s v="Organizers"/>
    <x v="14"/>
    <n v="6"/>
    <n v="4828.25"/>
    <n v="0"/>
    <n v="350.88"/>
  </r>
  <r>
    <s v="ORD-1577"/>
    <x v="333"/>
    <s v="CUST-1130"/>
    <s v="Asha Patel"/>
    <x v="2"/>
    <x v="14"/>
    <s v="Noida"/>
    <x v="1"/>
    <s v="Accessories"/>
    <x v="8"/>
    <n v="3"/>
    <n v="7417.19"/>
    <n v="0.05"/>
    <n v="1091.3599999999999"/>
  </r>
  <r>
    <s v="ORD-1772"/>
    <x v="334"/>
    <s v="CUST-1035"/>
    <s v="Varun Sharma"/>
    <x v="1"/>
    <x v="13"/>
    <s v="Surat"/>
    <x v="0"/>
    <s v="Storage"/>
    <x v="3"/>
    <n v="2"/>
    <n v="11745.31"/>
    <n v="0.2"/>
    <n v="579.76"/>
  </r>
  <r>
    <s v="ORD-1095"/>
    <x v="334"/>
    <s v="CUST-1026"/>
    <s v="Varun Verma"/>
    <x v="2"/>
    <x v="12"/>
    <s v="New Delhi"/>
    <x v="0"/>
    <s v="Tables"/>
    <x v="12"/>
    <n v="2"/>
    <n v="9983.86"/>
    <n v="0.05"/>
    <n v="2274.13"/>
  </r>
  <r>
    <s v="ORD-1387"/>
    <x v="334"/>
    <s v="CUST-1123"/>
    <s v="Pooja Singh"/>
    <x v="1"/>
    <x v="3"/>
    <s v="Jaipur"/>
    <x v="2"/>
    <s v="Stationery"/>
    <x v="26"/>
    <n v="5"/>
    <n v="867.79"/>
    <n v="0.1"/>
    <n v="80.92"/>
  </r>
  <r>
    <s v="ORD-1827"/>
    <x v="334"/>
    <s v="CUST-1103"/>
    <s v="Kiran Singh"/>
    <x v="1"/>
    <x v="3"/>
    <s v="Jaipur"/>
    <x v="0"/>
    <s v="Chairs"/>
    <x v="0"/>
    <n v="3"/>
    <n v="19178.310000000001"/>
    <n v="0.05"/>
    <n v="2724.79"/>
  </r>
  <r>
    <s v="ORD-1186"/>
    <x v="334"/>
    <s v="CUST-1051"/>
    <s v="Manoj Verma"/>
    <x v="3"/>
    <x v="11"/>
    <s v="Thiruvananthapuram"/>
    <x v="1"/>
    <s v="Phones"/>
    <x v="18"/>
    <n v="1"/>
    <n v="38323.03"/>
    <n v="0.1"/>
    <n v="6345.55"/>
  </r>
  <r>
    <s v="ORD-1061"/>
    <x v="334"/>
    <s v="CUST-1198"/>
    <s v="Arjun Nair"/>
    <x v="1"/>
    <x v="8"/>
    <s v="Panaji"/>
    <x v="1"/>
    <s v="Phones"/>
    <x v="11"/>
    <n v="4"/>
    <n v="101941.51"/>
    <n v="0.1"/>
    <n v="10611.85"/>
  </r>
  <r>
    <s v="ORD-1782"/>
    <x v="334"/>
    <s v="CUST-1170"/>
    <s v="Divya Patel"/>
    <x v="3"/>
    <x v="9"/>
    <s v="Chennai"/>
    <x v="1"/>
    <s v="Phones"/>
    <x v="18"/>
    <n v="7"/>
    <n v="269656.83"/>
    <n v="0.1"/>
    <n v="49766.1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5143652-6C4D-490B-88CC-0005E474DD11}" name="profitbycategor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13:F17" firstHeaderRow="1" firstDataRow="1" firstDataCol="1"/>
  <pivotFields count="16">
    <pivotField showAll="0"/>
    <pivotField numFmtId="14" showAll="0">
      <items count="33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t="default"/>
      </items>
    </pivotField>
    <pivotField showAll="0"/>
    <pivotField showAll="0"/>
    <pivotField showAll="0"/>
    <pivotField showAll="0"/>
    <pivotField showAll="0"/>
    <pivotField axis="axisRow" showAll="0">
      <items count="4">
        <item x="0"/>
        <item x="2"/>
        <item x="1"/>
        <item t="default"/>
      </items>
    </pivotField>
    <pivotField showAll="0"/>
    <pivotField showAll="0"/>
    <pivotField showAll="0"/>
    <pivotField numFmtId="2" showAll="0"/>
    <pivotField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7"/>
  </rowFields>
  <rowItems count="4">
    <i>
      <x/>
    </i>
    <i>
      <x v="1"/>
    </i>
    <i>
      <x v="2"/>
    </i>
    <i t="grand">
      <x/>
    </i>
  </rowItems>
  <colItems count="1">
    <i/>
  </colItems>
  <dataFields count="1">
    <dataField name="Sum of Profit" fld="1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94B3B3F-69B4-4C9C-9D47-3E5C5B47D4D2}" name="salesbycategor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8">
  <location ref="A13:B17" firstHeaderRow="1" firstDataRow="1" firstDataCol="1"/>
  <pivotFields count="16">
    <pivotField showAll="0"/>
    <pivotField numFmtId="14" showAll="0">
      <items count="33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t="default"/>
      </items>
    </pivotField>
    <pivotField showAll="0"/>
    <pivotField showAll="0"/>
    <pivotField showAll="0">
      <items count="5">
        <item x="0"/>
        <item x="2"/>
        <item x="3"/>
        <item x="1"/>
        <item t="default"/>
      </items>
    </pivotField>
    <pivotField showAll="0"/>
    <pivotField showAll="0"/>
    <pivotField axis="axisRow" showAll="0">
      <items count="4">
        <item x="0"/>
        <item x="2"/>
        <item x="1"/>
        <item t="default"/>
      </items>
    </pivotField>
    <pivotField showAll="0"/>
    <pivotField showAll="0"/>
    <pivotField showAll="0"/>
    <pivotField dataField="1" numFmtId="2"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7"/>
  </rowFields>
  <rowItems count="4">
    <i>
      <x/>
    </i>
    <i>
      <x v="1"/>
    </i>
    <i>
      <x v="2"/>
    </i>
    <i t="grand">
      <x/>
    </i>
  </rowItems>
  <colItems count="1">
    <i/>
  </colItems>
  <dataFields count="1">
    <dataField name="Sum of Sales" fld="11" baseField="0" baseItem="0" numFmtId="2"/>
  </dataFields>
  <chartFormats count="1">
    <chartFormat chart="3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ECD9405-B336-4CB1-9753-F9D26DBD6DA1}" name="salesbyregio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8" firstHeaderRow="1" firstDataRow="1" firstDataCol="1"/>
  <pivotFields count="16">
    <pivotField showAll="0"/>
    <pivotField numFmtId="14" showAll="0">
      <items count="33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t="default"/>
      </items>
    </pivotField>
    <pivotField showAll="0"/>
    <pivotField showAll="0"/>
    <pivotField axis="axisRow" showAll="0">
      <items count="5">
        <item x="0"/>
        <item x="2"/>
        <item x="3"/>
        <item x="1"/>
        <item t="default"/>
      </items>
    </pivotField>
    <pivotField showAll="0">
      <items count="18">
        <item x="10"/>
        <item x="16"/>
        <item x="12"/>
        <item x="8"/>
        <item x="13"/>
        <item x="6"/>
        <item x="7"/>
        <item x="4"/>
        <item x="11"/>
        <item x="1"/>
        <item x="15"/>
        <item x="2"/>
        <item x="3"/>
        <item x="9"/>
        <item x="5"/>
        <item x="14"/>
        <item x="0"/>
        <item t="default"/>
      </items>
    </pivotField>
    <pivotField showAll="0"/>
    <pivotField showAll="0">
      <items count="4">
        <item x="0"/>
        <item x="2"/>
        <item x="1"/>
        <item t="default"/>
      </items>
    </pivotField>
    <pivotField showAll="0"/>
    <pivotField showAll="0"/>
    <pivotField showAll="0"/>
    <pivotField dataField="1" numFmtId="2"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4"/>
  </rowFields>
  <rowItems count="5">
    <i>
      <x/>
    </i>
    <i>
      <x v="1"/>
    </i>
    <i>
      <x v="2"/>
    </i>
    <i>
      <x v="3"/>
    </i>
    <i t="grand">
      <x/>
    </i>
  </rowItems>
  <colItems count="1">
    <i/>
  </colItems>
  <dataFields count="1">
    <dataField name="Sum of Sales" fld="11" baseField="0" baseItem="0" numFmtId="2"/>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18B1B02-4D6D-44CE-91BF-B03B79F043D8}" name="sales+profitbyregio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58:C63" firstHeaderRow="0" firstDataRow="1" firstDataCol="1"/>
  <pivotFields count="16">
    <pivotField showAll="0"/>
    <pivotField numFmtId="14" showAll="0">
      <items count="33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t="default"/>
      </items>
    </pivotField>
    <pivotField showAll="0"/>
    <pivotField showAll="0"/>
    <pivotField axis="axisRow" showAll="0">
      <items count="5">
        <item x="0"/>
        <item x="2"/>
        <item x="3"/>
        <item x="1"/>
        <item t="default"/>
      </items>
    </pivotField>
    <pivotField showAll="0"/>
    <pivotField showAll="0"/>
    <pivotField showAll="0"/>
    <pivotField showAll="0"/>
    <pivotField showAll="0"/>
    <pivotField showAll="0"/>
    <pivotField dataField="1" numFmtId="2" showAll="0"/>
    <pivotField showAll="0"/>
    <pivotField dataField="1" showAll="0"/>
    <pivotField showAll="0" defaultSubtotal="0"/>
    <pivotField showAll="0" defaultSubtotal="0">
      <items count="14">
        <item x="0"/>
        <item x="1"/>
        <item x="2"/>
        <item x="3"/>
        <item x="4"/>
        <item x="5"/>
        <item x="6"/>
        <item x="7"/>
        <item x="8"/>
        <item x="9"/>
        <item x="10"/>
        <item x="11"/>
        <item x="12"/>
        <item x="13"/>
      </items>
    </pivotField>
  </pivotFields>
  <rowFields count="1">
    <field x="4"/>
  </rowFields>
  <rowItems count="5">
    <i>
      <x/>
    </i>
    <i>
      <x v="1"/>
    </i>
    <i>
      <x v="2"/>
    </i>
    <i>
      <x v="3"/>
    </i>
    <i t="grand">
      <x/>
    </i>
  </rowItems>
  <colFields count="1">
    <field x="-2"/>
  </colFields>
  <colItems count="2">
    <i>
      <x/>
    </i>
    <i i="1">
      <x v="1"/>
    </i>
  </colItems>
  <dataFields count="2">
    <dataField name="Sum of Profit" fld="13" baseField="0" baseItem="0"/>
    <dataField name="Sum of Sales" fld="11"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DF16319-A22E-45C2-9C7B-F8D2CDF16BD1}" name="top10productsbyprofi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41:F52" firstHeaderRow="1" firstDataRow="1" firstDataCol="1"/>
  <pivotFields count="16">
    <pivotField showAll="0"/>
    <pivotField numFmtId="14" showAll="0">
      <items count="33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t="default"/>
      </items>
    </pivotField>
    <pivotField showAll="0"/>
    <pivotField showAll="0"/>
    <pivotField showAll="0"/>
    <pivotField showAll="0"/>
    <pivotField showAll="0"/>
    <pivotField showAll="0"/>
    <pivotField showAll="0"/>
    <pivotField axis="axisRow" showAll="0" measureFilter="1">
      <items count="28">
        <item x="7"/>
        <item x="3"/>
        <item x="16"/>
        <item x="23"/>
        <item x="14"/>
        <item x="19"/>
        <item x="2"/>
        <item x="13"/>
        <item x="8"/>
        <item x="24"/>
        <item x="15"/>
        <item x="9"/>
        <item x="10"/>
        <item x="21"/>
        <item x="26"/>
        <item x="0"/>
        <item x="5"/>
        <item x="22"/>
        <item x="17"/>
        <item x="25"/>
        <item x="1"/>
        <item x="11"/>
        <item x="18"/>
        <item x="20"/>
        <item x="12"/>
        <item x="6"/>
        <item x="4"/>
        <item t="default"/>
      </items>
    </pivotField>
    <pivotField showAll="0"/>
    <pivotField numFmtId="2" showAll="0"/>
    <pivotField showAll="0"/>
    <pivotField dataField="1" showAll="0"/>
    <pivotField showAll="0" defaultSubtotal="0"/>
    <pivotField showAll="0" defaultSubtotal="0">
      <items count="14">
        <item x="0"/>
        <item x="1"/>
        <item x="2"/>
        <item x="3"/>
        <item x="4"/>
        <item x="5"/>
        <item x="6"/>
        <item x="7"/>
        <item x="8"/>
        <item x="9"/>
        <item x="10"/>
        <item x="11"/>
        <item x="12"/>
        <item x="13"/>
      </items>
    </pivotField>
  </pivotFields>
  <rowFields count="1">
    <field x="9"/>
  </rowFields>
  <rowItems count="11">
    <i>
      <x v="2"/>
    </i>
    <i>
      <x v="5"/>
    </i>
    <i>
      <x v="7"/>
    </i>
    <i>
      <x v="10"/>
    </i>
    <i>
      <x v="11"/>
    </i>
    <i>
      <x v="12"/>
    </i>
    <i>
      <x v="16"/>
    </i>
    <i>
      <x v="20"/>
    </i>
    <i>
      <x v="21"/>
    </i>
    <i>
      <x v="22"/>
    </i>
    <i t="grand">
      <x/>
    </i>
  </rowItems>
  <colItems count="1">
    <i/>
  </colItems>
  <dataFields count="1">
    <dataField name="Sum of Profit" fld="13" baseField="0" baseItem="0"/>
  </dataFields>
  <pivotTableStyleInfo name="PivotStyleLight16" showRowHeaders="1" showColHeaders="1" showRowStripes="0" showColStripes="0" showLastColumn="1"/>
  <filters count="1">
    <filter fld="9"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9AB5140-F165-4B52-A2B0-7479D3968D63}" name="profitbyregio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3:F8" firstHeaderRow="1" firstDataRow="1" firstDataCol="1"/>
  <pivotFields count="16">
    <pivotField showAll="0"/>
    <pivotField numFmtId="14" showAll="0">
      <items count="33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t="default"/>
      </items>
    </pivotField>
    <pivotField showAll="0"/>
    <pivotField showAll="0"/>
    <pivotField axis="axisRow" showAll="0">
      <items count="5">
        <item x="0"/>
        <item x="2"/>
        <item x="3"/>
        <item x="1"/>
        <item t="default"/>
      </items>
    </pivotField>
    <pivotField showAll="0">
      <items count="18">
        <item x="10"/>
        <item x="16"/>
        <item x="12"/>
        <item x="8"/>
        <item x="13"/>
        <item x="6"/>
        <item x="7"/>
        <item x="4"/>
        <item x="11"/>
        <item x="1"/>
        <item x="15"/>
        <item x="2"/>
        <item x="3"/>
        <item x="9"/>
        <item x="5"/>
        <item x="14"/>
        <item x="0"/>
        <item t="default"/>
      </items>
    </pivotField>
    <pivotField showAll="0"/>
    <pivotField showAll="0"/>
    <pivotField showAll="0"/>
    <pivotField showAll="0"/>
    <pivotField showAll="0"/>
    <pivotField numFmtId="2" showAll="0"/>
    <pivotField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4"/>
  </rowFields>
  <rowItems count="5">
    <i>
      <x/>
    </i>
    <i>
      <x v="1"/>
    </i>
    <i>
      <x v="2"/>
    </i>
    <i>
      <x v="3"/>
    </i>
    <i t="grand">
      <x/>
    </i>
  </rowItems>
  <colItems count="1">
    <i/>
  </colItems>
  <dataFields count="1">
    <dataField name="Sum of Profit" fld="1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E996C09-46FD-4138-BD5F-03DD46C9C998}" name="profitbymonth"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E23:F36" firstHeaderRow="1" firstDataRow="1" firstDataCol="1"/>
  <pivotFields count="16">
    <pivotField showAll="0"/>
    <pivotField numFmtId="14" showAll="0">
      <items count="33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t="default"/>
      </items>
    </pivotField>
    <pivotField showAll="0"/>
    <pivotField showAll="0"/>
    <pivotField showAll="0">
      <items count="5">
        <item x="0"/>
        <item x="2"/>
        <item x="3"/>
        <item x="1"/>
        <item t="default"/>
      </items>
    </pivotField>
    <pivotField showAll="0">
      <items count="18">
        <item x="10"/>
        <item x="16"/>
        <item x="12"/>
        <item x="8"/>
        <item x="13"/>
        <item x="6"/>
        <item x="7"/>
        <item x="4"/>
        <item x="11"/>
        <item x="1"/>
        <item x="15"/>
        <item x="2"/>
        <item x="3"/>
        <item x="9"/>
        <item x="5"/>
        <item x="14"/>
        <item x="0"/>
        <item t="default"/>
      </items>
    </pivotField>
    <pivotField showAll="0"/>
    <pivotField showAll="0">
      <items count="4">
        <item x="0"/>
        <item x="2"/>
        <item x="1"/>
        <item t="default"/>
      </items>
    </pivotField>
    <pivotField showAll="0"/>
    <pivotField showAll="0"/>
    <pivotField showAll="0"/>
    <pivotField numFmtId="2" showAll="0"/>
    <pivotField showAll="0"/>
    <pivotField dataField="1" showAll="0"/>
    <pivotField showAll="0" defaultSubtotal="0"/>
    <pivotField axis="axisRow" showAll="0" defaultSubtotal="0">
      <items count="14">
        <item x="0"/>
        <item x="1"/>
        <item x="2"/>
        <item x="3"/>
        <item x="4"/>
        <item x="5"/>
        <item x="6"/>
        <item x="7"/>
        <item x="8"/>
        <item x="9"/>
        <item x="10"/>
        <item x="11"/>
        <item x="12"/>
        <item x="13"/>
      </items>
    </pivotField>
  </pivotFields>
  <rowFields count="1">
    <field x="15"/>
  </rowFields>
  <rowItems count="13">
    <i>
      <x v="1"/>
    </i>
    <i>
      <x v="2"/>
    </i>
    <i>
      <x v="3"/>
    </i>
    <i>
      <x v="4"/>
    </i>
    <i>
      <x v="5"/>
    </i>
    <i>
      <x v="6"/>
    </i>
    <i>
      <x v="7"/>
    </i>
    <i>
      <x v="8"/>
    </i>
    <i>
      <x v="9"/>
    </i>
    <i>
      <x v="10"/>
    </i>
    <i>
      <x v="11"/>
    </i>
    <i>
      <x v="12"/>
    </i>
    <i t="grand">
      <x/>
    </i>
  </rowItems>
  <colItems count="1">
    <i/>
  </colItems>
  <dataFields count="1">
    <dataField name="Sum of Profit" fld="13" baseField="0" baseItem="0"/>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C41EB95-01BF-4FDB-A2BD-E71D13E928F2}" name="salesbymonth"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23:B36" firstHeaderRow="1" firstDataRow="1" firstDataCol="1"/>
  <pivotFields count="16">
    <pivotField showAll="0"/>
    <pivotField axis="axisRow" numFmtId="14" showAll="0">
      <items count="33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t="default"/>
      </items>
    </pivotField>
    <pivotField showAll="0"/>
    <pivotField showAll="0"/>
    <pivotField showAll="0">
      <items count="5">
        <item x="0"/>
        <item x="2"/>
        <item x="3"/>
        <item x="1"/>
        <item t="default"/>
      </items>
    </pivotField>
    <pivotField showAll="0">
      <items count="18">
        <item x="10"/>
        <item x="16"/>
        <item x="12"/>
        <item x="8"/>
        <item x="13"/>
        <item x="6"/>
        <item x="7"/>
        <item x="4"/>
        <item x="11"/>
        <item x="1"/>
        <item x="15"/>
        <item x="2"/>
        <item x="3"/>
        <item x="9"/>
        <item x="5"/>
        <item x="14"/>
        <item x="0"/>
        <item t="default"/>
      </items>
    </pivotField>
    <pivotField showAll="0"/>
    <pivotField showAll="0">
      <items count="4">
        <item x="0"/>
        <item x="2"/>
        <item x="1"/>
        <item t="default"/>
      </items>
    </pivotField>
    <pivotField showAll="0"/>
    <pivotField showAll="0"/>
    <pivotField showAll="0"/>
    <pivotField dataField="1" numFmtId="2" showAll="0"/>
    <pivotField showAll="0"/>
    <pivotField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3">
    <field x="15"/>
    <field x="14"/>
    <field x="1"/>
  </rowFields>
  <rowItems count="13">
    <i>
      <x v="1"/>
    </i>
    <i>
      <x v="2"/>
    </i>
    <i>
      <x v="3"/>
    </i>
    <i>
      <x v="4"/>
    </i>
    <i>
      <x v="5"/>
    </i>
    <i>
      <x v="6"/>
    </i>
    <i>
      <x v="7"/>
    </i>
    <i>
      <x v="8"/>
    </i>
    <i>
      <x v="9"/>
    </i>
    <i>
      <x v="10"/>
    </i>
    <i>
      <x v="11"/>
    </i>
    <i>
      <x v="12"/>
    </i>
    <i t="grand">
      <x/>
    </i>
  </rowItems>
  <colItems count="1">
    <i/>
  </colItems>
  <dataFields count="1">
    <dataField name="Sum of Sales" fld="11" baseField="0" baseItem="0" numFmtId="2"/>
  </dataFields>
  <chartFormats count="1">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0C54F9C-E3E4-475B-BB18-D943000D4EB1}" name="top10productsbysale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41:B52" firstHeaderRow="1" firstDataRow="1" firstDataCol="1"/>
  <pivotFields count="16">
    <pivotField showAll="0"/>
    <pivotField numFmtId="14" showAll="0">
      <items count="33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t="default"/>
      </items>
    </pivotField>
    <pivotField showAll="0"/>
    <pivotField showAll="0"/>
    <pivotField showAll="0">
      <items count="5">
        <item x="0"/>
        <item x="2"/>
        <item x="3"/>
        <item x="1"/>
        <item t="default"/>
      </items>
    </pivotField>
    <pivotField showAll="0">
      <items count="18">
        <item x="10"/>
        <item x="16"/>
        <item x="12"/>
        <item x="8"/>
        <item x="13"/>
        <item x="6"/>
        <item x="7"/>
        <item x="4"/>
        <item x="11"/>
        <item x="1"/>
        <item x="15"/>
        <item x="2"/>
        <item x="3"/>
        <item x="9"/>
        <item x="5"/>
        <item x="14"/>
        <item x="0"/>
        <item t="default"/>
      </items>
    </pivotField>
    <pivotField showAll="0"/>
    <pivotField showAll="0">
      <items count="4">
        <item x="0"/>
        <item x="2"/>
        <item x="1"/>
        <item t="default"/>
      </items>
    </pivotField>
    <pivotField showAll="0"/>
    <pivotField axis="axisRow" showAll="0" measureFilter="1">
      <items count="28">
        <item x="7"/>
        <item x="3"/>
        <item x="16"/>
        <item x="23"/>
        <item x="14"/>
        <item x="19"/>
        <item x="2"/>
        <item x="13"/>
        <item x="8"/>
        <item x="24"/>
        <item x="15"/>
        <item x="9"/>
        <item x="10"/>
        <item x="21"/>
        <item x="26"/>
        <item x="0"/>
        <item x="5"/>
        <item x="22"/>
        <item x="17"/>
        <item x="25"/>
        <item x="1"/>
        <item x="11"/>
        <item x="18"/>
        <item x="20"/>
        <item x="12"/>
        <item x="6"/>
        <item x="4"/>
        <item t="default"/>
      </items>
    </pivotField>
    <pivotField showAll="0"/>
    <pivotField dataField="1" numFmtId="2"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9"/>
  </rowFields>
  <rowItems count="11">
    <i>
      <x v="2"/>
    </i>
    <i>
      <x v="5"/>
    </i>
    <i>
      <x v="7"/>
    </i>
    <i>
      <x v="10"/>
    </i>
    <i>
      <x v="11"/>
    </i>
    <i>
      <x v="12"/>
    </i>
    <i>
      <x v="16"/>
    </i>
    <i>
      <x v="20"/>
    </i>
    <i>
      <x v="21"/>
    </i>
    <i>
      <x v="22"/>
    </i>
    <i t="grand">
      <x/>
    </i>
  </rowItems>
  <colItems count="1">
    <i/>
  </colItems>
  <dataFields count="1">
    <dataField name="Sum of Sales" fld="11" baseField="0" baseItem="0" numFmtId="2"/>
  </dataFields>
  <chartFormats count="1">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9"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247832B9-545B-4F0B-AC2D-7A3C02D41312}" autoFormatId="16" applyNumberFormats="0" applyBorderFormats="0" applyFontFormats="0" applyPatternFormats="0" applyAlignmentFormats="0" applyWidthHeightFormats="0">
  <queryTableRefresh nextId="15">
    <queryTableFields count="14">
      <queryTableField id="1" name="Order ID" tableColumnId="1"/>
      <queryTableField id="2" name="Order Date" tableColumnId="2"/>
      <queryTableField id="3" name="Customer ID" tableColumnId="3"/>
      <queryTableField id="4" name="Customer Name" tableColumnId="4"/>
      <queryTableField id="5" name="Region" tableColumnId="5"/>
      <queryTableField id="6" name="State" tableColumnId="6"/>
      <queryTableField id="7" name="City" tableColumnId="7"/>
      <queryTableField id="8" name="Category" tableColumnId="8"/>
      <queryTableField id="9" name="Sub-Category" tableColumnId="9"/>
      <queryTableField id="10" name="Product" tableColumnId="10"/>
      <queryTableField id="11" name="Quantity" tableColumnId="11"/>
      <queryTableField id="12" name="Sales" tableColumnId="12"/>
      <queryTableField id="13" name="Discount" tableColumnId="13"/>
      <queryTableField id="14" name="Profit" tableColumnId="14"/>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CF44C3F-DD67-464C-9A3C-CD16672696B8}" sourceName="Region">
  <pivotTables>
    <pivotTable tabId="3" name="salesbyregion"/>
    <pivotTable tabId="3" name="profitbymonth"/>
    <pivotTable tabId="3" name="salesbycategory"/>
    <pivotTable tabId="3" name="salesbymonth"/>
    <pivotTable tabId="3" name="top10productsbysales"/>
  </pivotTables>
  <data>
    <tabular pivotCacheId="1393549266">
      <items count="4">
        <i x="0" s="1"/>
        <i x="2" s="1"/>
        <i x="3"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8A022F42-080F-4664-922C-5078D295EC03}" sourceName="Category">
  <pivotTables>
    <pivotTable tabId="3" name="profitbymonth"/>
    <pivotTable tabId="3" name="salesbycategory"/>
    <pivotTable tabId="3" name="salesbymonth"/>
    <pivotTable tabId="3" name="salesbyregion"/>
    <pivotTable tabId="3" name="top10productsbysales"/>
  </pivotTables>
  <data>
    <tabular pivotCacheId="1393549266">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CF9C4002-A766-4E58-A180-D9EB62FD9A65}" sourceName="State">
  <pivotTables>
    <pivotTable tabId="3" name="profitbymonth"/>
    <pivotTable tabId="3" name="profitbyregion"/>
    <pivotTable tabId="3" name="salesbymonth"/>
    <pivotTable tabId="3" name="salesbyregion"/>
    <pivotTable tabId="3" name="top10productsbysales"/>
  </pivotTables>
  <data>
    <tabular pivotCacheId="1393549266">
      <items count="17">
        <i x="10" s="1"/>
        <i x="16" s="1"/>
        <i x="12" s="1"/>
        <i x="8" s="1"/>
        <i x="13" s="1"/>
        <i x="6" s="1"/>
        <i x="7" s="1"/>
        <i x="4" s="1"/>
        <i x="11" s="1"/>
        <i x="1" s="1"/>
        <i x="15" s="1"/>
        <i x="2" s="1"/>
        <i x="3" s="1"/>
        <i x="9" s="1"/>
        <i x="5" s="1"/>
        <i x="14"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CB63DEAA-DA5E-4042-8884-C7D841690AF1}" cache="Slicer_Region" caption="Region" rowHeight="251883"/>
  <slicer name="Category" xr10:uid="{9F98A0B4-AA47-41D1-96EC-3123BEC9AADB}" cache="Slicer_Category" caption="Category" rowHeight="251883"/>
  <slicer name="State" xr10:uid="{06FAE044-455B-48E8-A30A-360BF399A7C6}" cache="Slicer_State" caption="State" rowHeight="251883"/>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A180954-42F9-40CF-A2ED-85B5FB1257EE}" name="sales" displayName="sales" ref="A1:N993" tableType="queryTable" totalsRowShown="0">
  <autoFilter ref="A1:N993" xr:uid="{3A180954-42F9-40CF-A2ED-85B5FB1257EE}">
    <filterColumn colId="2">
      <customFilters>
        <customFilter operator="notEqual" val=" "/>
      </customFilters>
    </filterColumn>
    <filterColumn colId="3">
      <customFilters>
        <customFilter operator="notEqual" val=" "/>
      </customFilters>
    </filterColumn>
    <filterColumn colId="6">
      <customFilters>
        <customFilter operator="notEqual" val=" "/>
      </customFilters>
    </filterColumn>
    <filterColumn colId="9">
      <customFilters>
        <customFilter operator="notEqual" val=" "/>
      </customFilters>
    </filterColumn>
    <filterColumn colId="12">
      <customFilters>
        <customFilter operator="notEqual" val=" "/>
      </customFilters>
    </filterColumn>
  </autoFilter>
  <tableColumns count="14">
    <tableColumn id="1" xr3:uid="{A797EF91-B68F-431C-A875-9841210C1B17}" uniqueName="1" name="Order ID" queryTableFieldId="1" dataDxfId="11"/>
    <tableColumn id="2" xr3:uid="{E5C2F586-91F7-429C-BB86-239FEE80023E}" uniqueName="2" name="Order Date" queryTableFieldId="2" dataDxfId="10"/>
    <tableColumn id="3" xr3:uid="{F329C6DF-325E-41A8-BC59-8450C1AC5E84}" uniqueName="3" name="Customer ID" queryTableFieldId="3" dataDxfId="9"/>
    <tableColumn id="4" xr3:uid="{FA8056B3-50C2-4055-9C7F-96329E6577CC}" uniqueName="4" name="Customer Name" queryTableFieldId="4" dataDxfId="8"/>
    <tableColumn id="5" xr3:uid="{3F40D3C1-E927-4614-80F2-BECBB1C0A19B}" uniqueName="5" name="Region" queryTableFieldId="5" dataDxfId="7"/>
    <tableColumn id="6" xr3:uid="{62ACDA9B-C422-46CD-9CFC-6D032890533C}" uniqueName="6" name="State" queryTableFieldId="6" dataDxfId="6"/>
    <tableColumn id="7" xr3:uid="{1D29F8D6-FF6F-4DE8-BDDF-A1F5210A5A16}" uniqueName="7" name="City" queryTableFieldId="7" dataDxfId="5"/>
    <tableColumn id="8" xr3:uid="{EF539D15-3F45-4056-A96D-0833221959D7}" uniqueName="8" name="Category" queryTableFieldId="8" dataDxfId="4"/>
    <tableColumn id="9" xr3:uid="{8CEE1B46-27C3-4912-91D6-931966EE1833}" uniqueName="9" name="Sub-Category" queryTableFieldId="9" dataDxfId="3"/>
    <tableColumn id="10" xr3:uid="{E840E7BE-44BC-4D7B-96F0-46348E7216DB}" uniqueName="10" name="Product" queryTableFieldId="10" dataDxfId="2"/>
    <tableColumn id="11" xr3:uid="{A7067644-303A-4879-8CDC-EEF510F635D2}" uniqueName="11" name="Quantity" queryTableFieldId="11" dataDxfId="1"/>
    <tableColumn id="12" xr3:uid="{0AC7045D-09C2-4035-9AA8-A53B59B180F3}" uniqueName="12" name="Sales" queryTableFieldId="12" dataDxfId="0"/>
    <tableColumn id="13" xr3:uid="{ED520134-171B-44B9-86D3-100569533583}" uniqueName="13" name="Discount" queryTableFieldId="13"/>
    <tableColumn id="14" xr3:uid="{48393E25-CFA5-4225-BAF3-F1C6ACF00E3C}" uniqueName="14" name="Profit" queryTableFieldId="14"/>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B2DB37-C81E-46E7-BD03-F815C895C946}">
  <dimension ref="A1:N993"/>
  <sheetViews>
    <sheetView topLeftCell="G1" workbookViewId="0">
      <pane ySplit="1" topLeftCell="A2" activePane="bottomLeft" state="frozen"/>
      <selection pane="bottomLeft" activeCell="O15" sqref="O15"/>
    </sheetView>
  </sheetViews>
  <sheetFormatPr defaultRowHeight="14.5" x14ac:dyDescent="0.35"/>
  <cols>
    <col min="1" max="1" width="9.90625" bestFit="1" customWidth="1"/>
    <col min="2" max="2" width="12" bestFit="1" customWidth="1"/>
    <col min="3" max="3" width="13.453125" bestFit="1" customWidth="1"/>
    <col min="4" max="4" width="16.6328125" bestFit="1" customWidth="1"/>
    <col min="5" max="5" width="8.81640625" bestFit="1" customWidth="1"/>
    <col min="6" max="6" width="13.6328125" bestFit="1" customWidth="1"/>
    <col min="7" max="7" width="17.6328125" bestFit="1" customWidth="1"/>
    <col min="8" max="8" width="13" bestFit="1" customWidth="1"/>
    <col min="9" max="9" width="14.36328125" bestFit="1" customWidth="1"/>
    <col min="10" max="10" width="15.08984375" bestFit="1" customWidth="1"/>
    <col min="11" max="11" width="10.26953125" bestFit="1" customWidth="1"/>
    <col min="12" max="12" width="10.36328125" bestFit="1" customWidth="1"/>
    <col min="13" max="13" width="10.6328125" bestFit="1" customWidth="1"/>
    <col min="14" max="14" width="9.81640625" bestFit="1" customWidth="1"/>
  </cols>
  <sheetData>
    <row r="1" spans="1:14" x14ac:dyDescent="0.35">
      <c r="A1" t="s">
        <v>0</v>
      </c>
      <c r="B1" s="1" t="s">
        <v>1</v>
      </c>
      <c r="C1" t="s">
        <v>2</v>
      </c>
      <c r="D1" t="s">
        <v>3</v>
      </c>
      <c r="E1" t="s">
        <v>4</v>
      </c>
      <c r="F1" t="s">
        <v>5</v>
      </c>
      <c r="G1" t="s">
        <v>6</v>
      </c>
      <c r="H1" t="s">
        <v>7</v>
      </c>
      <c r="I1" t="s">
        <v>8</v>
      </c>
      <c r="J1" t="s">
        <v>9</v>
      </c>
      <c r="K1" t="s">
        <v>10</v>
      </c>
      <c r="L1" t="s">
        <v>11</v>
      </c>
      <c r="M1" t="s">
        <v>12</v>
      </c>
      <c r="N1" t="s">
        <v>13</v>
      </c>
    </row>
    <row r="2" spans="1:14" x14ac:dyDescent="0.35">
      <c r="A2" t="s">
        <v>14</v>
      </c>
      <c r="B2" s="1">
        <v>45658</v>
      </c>
      <c r="C2" t="s">
        <v>15</v>
      </c>
      <c r="D2" t="s">
        <v>16</v>
      </c>
      <c r="E2" t="s">
        <v>17</v>
      </c>
      <c r="F2" t="s">
        <v>18</v>
      </c>
      <c r="G2" t="s">
        <v>19</v>
      </c>
      <c r="H2" t="s">
        <v>20</v>
      </c>
      <c r="I2" t="s">
        <v>21</v>
      </c>
      <c r="J2" t="s">
        <v>22</v>
      </c>
      <c r="K2">
        <v>1</v>
      </c>
      <c r="L2" s="2">
        <v>5983.33</v>
      </c>
      <c r="M2">
        <v>0.05</v>
      </c>
      <c r="N2">
        <v>1297.77</v>
      </c>
    </row>
    <row r="3" spans="1:14" x14ac:dyDescent="0.35">
      <c r="A3" t="s">
        <v>23</v>
      </c>
      <c r="B3" s="1">
        <v>45658</v>
      </c>
      <c r="C3" t="s">
        <v>24</v>
      </c>
      <c r="D3" t="s">
        <v>25</v>
      </c>
      <c r="E3" t="s">
        <v>26</v>
      </c>
      <c r="F3" t="s">
        <v>27</v>
      </c>
      <c r="G3" t="s">
        <v>28</v>
      </c>
      <c r="H3" t="s">
        <v>29</v>
      </c>
      <c r="I3" t="s">
        <v>30</v>
      </c>
      <c r="J3" t="s">
        <v>31</v>
      </c>
      <c r="K3">
        <v>5</v>
      </c>
      <c r="L3" s="2">
        <v>88655.69</v>
      </c>
      <c r="M3">
        <v>0.05</v>
      </c>
      <c r="N3">
        <v>12760.68</v>
      </c>
    </row>
    <row r="4" spans="1:14" x14ac:dyDescent="0.35">
      <c r="A4" t="s">
        <v>32</v>
      </c>
      <c r="B4" s="1">
        <v>45658</v>
      </c>
      <c r="C4" t="s">
        <v>33</v>
      </c>
      <c r="D4" t="s">
        <v>34</v>
      </c>
      <c r="E4" t="s">
        <v>35</v>
      </c>
      <c r="F4" t="s">
        <v>36</v>
      </c>
      <c r="G4" t="s">
        <v>37</v>
      </c>
      <c r="H4" t="s">
        <v>38</v>
      </c>
      <c r="I4" t="s">
        <v>39</v>
      </c>
      <c r="J4" t="s">
        <v>40</v>
      </c>
      <c r="K4">
        <v>1</v>
      </c>
      <c r="L4" s="2">
        <v>433.63</v>
      </c>
      <c r="M4">
        <v>0.05</v>
      </c>
      <c r="N4">
        <v>38.1</v>
      </c>
    </row>
    <row r="5" spans="1:14" x14ac:dyDescent="0.35">
      <c r="A5" t="s">
        <v>41</v>
      </c>
      <c r="B5" s="1">
        <v>45659</v>
      </c>
      <c r="C5" t="s">
        <v>42</v>
      </c>
      <c r="D5" t="s">
        <v>43</v>
      </c>
      <c r="E5" t="s">
        <v>26</v>
      </c>
      <c r="F5" t="s">
        <v>44</v>
      </c>
      <c r="G5" t="s">
        <v>45</v>
      </c>
      <c r="H5" t="s">
        <v>20</v>
      </c>
      <c r="I5" t="s">
        <v>46</v>
      </c>
      <c r="J5" t="s">
        <v>47</v>
      </c>
      <c r="K5">
        <v>3</v>
      </c>
      <c r="L5" s="2">
        <v>17885.68</v>
      </c>
      <c r="M5">
        <v>0.1</v>
      </c>
      <c r="N5">
        <v>3141.84</v>
      </c>
    </row>
    <row r="6" spans="1:14" x14ac:dyDescent="0.35">
      <c r="A6" t="s">
        <v>48</v>
      </c>
      <c r="B6" s="1">
        <v>45659</v>
      </c>
      <c r="C6" t="s">
        <v>49</v>
      </c>
      <c r="D6" t="s">
        <v>50</v>
      </c>
      <c r="E6" t="s">
        <v>51</v>
      </c>
      <c r="F6" t="s">
        <v>52</v>
      </c>
      <c r="G6" t="s">
        <v>53</v>
      </c>
      <c r="H6" t="s">
        <v>20</v>
      </c>
      <c r="I6" t="s">
        <v>46</v>
      </c>
      <c r="J6" t="s">
        <v>47</v>
      </c>
      <c r="K6">
        <v>3</v>
      </c>
      <c r="L6" s="2">
        <v>19762.87</v>
      </c>
      <c r="M6">
        <v>0</v>
      </c>
      <c r="N6">
        <v>4341.26</v>
      </c>
    </row>
    <row r="7" spans="1:14" x14ac:dyDescent="0.35">
      <c r="A7" t="s">
        <v>54</v>
      </c>
      <c r="B7" s="1">
        <v>45659</v>
      </c>
      <c r="C7" t="s">
        <v>55</v>
      </c>
      <c r="D7" t="s">
        <v>56</v>
      </c>
      <c r="E7" t="s">
        <v>51</v>
      </c>
      <c r="F7" t="s">
        <v>52</v>
      </c>
      <c r="G7" t="s">
        <v>57</v>
      </c>
      <c r="H7" t="s">
        <v>29</v>
      </c>
      <c r="I7" t="s">
        <v>58</v>
      </c>
      <c r="J7" t="s">
        <v>59</v>
      </c>
      <c r="K7">
        <v>4</v>
      </c>
      <c r="L7" s="2">
        <v>3358.58</v>
      </c>
      <c r="M7">
        <v>0.05</v>
      </c>
      <c r="N7">
        <v>341.35</v>
      </c>
    </row>
    <row r="8" spans="1:14" x14ac:dyDescent="0.35">
      <c r="A8" t="s">
        <v>60</v>
      </c>
      <c r="B8" s="1">
        <v>45660</v>
      </c>
      <c r="C8" t="s">
        <v>61</v>
      </c>
      <c r="D8" t="s">
        <v>62</v>
      </c>
      <c r="E8" t="s">
        <v>51</v>
      </c>
      <c r="F8" t="s">
        <v>63</v>
      </c>
      <c r="G8" t="s">
        <v>64</v>
      </c>
      <c r="H8" t="s">
        <v>20</v>
      </c>
      <c r="I8" t="s">
        <v>65</v>
      </c>
      <c r="J8" t="s">
        <v>66</v>
      </c>
      <c r="K8">
        <v>2</v>
      </c>
      <c r="L8" s="2">
        <v>19901.990000000002</v>
      </c>
      <c r="M8">
        <v>0</v>
      </c>
      <c r="N8">
        <v>3344.04</v>
      </c>
    </row>
    <row r="9" spans="1:14" x14ac:dyDescent="0.35">
      <c r="A9" t="s">
        <v>67</v>
      </c>
      <c r="B9" s="1">
        <v>45660</v>
      </c>
      <c r="C9" t="s">
        <v>68</v>
      </c>
      <c r="D9" t="s">
        <v>69</v>
      </c>
      <c r="E9" t="s">
        <v>35</v>
      </c>
      <c r="F9" t="s">
        <v>70</v>
      </c>
      <c r="G9" t="s">
        <v>71</v>
      </c>
      <c r="H9" t="s">
        <v>20</v>
      </c>
      <c r="I9" t="s">
        <v>21</v>
      </c>
      <c r="J9" t="s">
        <v>72</v>
      </c>
      <c r="K9">
        <v>2</v>
      </c>
      <c r="L9" s="2">
        <v>5669.35</v>
      </c>
      <c r="M9">
        <v>0.1</v>
      </c>
      <c r="N9">
        <v>983.68</v>
      </c>
    </row>
    <row r="10" spans="1:14" x14ac:dyDescent="0.35">
      <c r="A10" t="s">
        <v>73</v>
      </c>
      <c r="B10" s="1">
        <v>45660</v>
      </c>
      <c r="C10" t="s">
        <v>74</v>
      </c>
      <c r="D10" t="s">
        <v>75</v>
      </c>
      <c r="E10" t="s">
        <v>17</v>
      </c>
      <c r="F10" t="s">
        <v>76</v>
      </c>
      <c r="G10" t="s">
        <v>77</v>
      </c>
      <c r="H10" t="s">
        <v>38</v>
      </c>
      <c r="I10" t="s">
        <v>78</v>
      </c>
      <c r="J10" t="s">
        <v>79</v>
      </c>
      <c r="K10">
        <v>4</v>
      </c>
      <c r="L10" s="2">
        <v>1355.4</v>
      </c>
      <c r="M10">
        <v>0.05</v>
      </c>
      <c r="N10">
        <v>178.63</v>
      </c>
    </row>
    <row r="11" spans="1:14" x14ac:dyDescent="0.35">
      <c r="A11" t="s">
        <v>80</v>
      </c>
      <c r="B11" s="1">
        <v>45661</v>
      </c>
      <c r="C11" t="s">
        <v>81</v>
      </c>
      <c r="D11" t="s">
        <v>82</v>
      </c>
      <c r="E11" t="s">
        <v>51</v>
      </c>
      <c r="F11" t="s">
        <v>52</v>
      </c>
      <c r="G11" t="s">
        <v>53</v>
      </c>
      <c r="H11" t="s">
        <v>38</v>
      </c>
      <c r="I11" t="s">
        <v>78</v>
      </c>
      <c r="J11" t="s">
        <v>79</v>
      </c>
      <c r="K11">
        <v>6</v>
      </c>
      <c r="L11" s="2">
        <v>2216.36</v>
      </c>
      <c r="M11">
        <v>0</v>
      </c>
      <c r="N11">
        <v>425.13</v>
      </c>
    </row>
    <row r="12" spans="1:14" x14ac:dyDescent="0.35">
      <c r="A12" t="s">
        <v>83</v>
      </c>
      <c r="B12" s="1">
        <v>45661</v>
      </c>
      <c r="C12" t="s">
        <v>84</v>
      </c>
      <c r="D12" t="s">
        <v>85</v>
      </c>
      <c r="E12" t="s">
        <v>26</v>
      </c>
      <c r="F12" t="s">
        <v>86</v>
      </c>
      <c r="G12" t="s">
        <v>87</v>
      </c>
      <c r="H12" t="s">
        <v>29</v>
      </c>
      <c r="I12" t="s">
        <v>58</v>
      </c>
      <c r="J12" t="s">
        <v>88</v>
      </c>
      <c r="K12">
        <v>5</v>
      </c>
      <c r="L12" s="2">
        <v>11743.03</v>
      </c>
      <c r="M12">
        <v>0.1</v>
      </c>
      <c r="N12">
        <v>1215.03</v>
      </c>
    </row>
    <row r="13" spans="1:14" x14ac:dyDescent="0.35">
      <c r="A13" t="s">
        <v>89</v>
      </c>
      <c r="B13" s="1">
        <v>45661</v>
      </c>
      <c r="C13" t="s">
        <v>90</v>
      </c>
      <c r="D13" t="s">
        <v>91</v>
      </c>
      <c r="E13" t="s">
        <v>51</v>
      </c>
      <c r="F13" t="s">
        <v>92</v>
      </c>
      <c r="G13" t="s">
        <v>93</v>
      </c>
      <c r="H13" t="s">
        <v>29</v>
      </c>
      <c r="I13" t="s">
        <v>94</v>
      </c>
      <c r="J13" t="s">
        <v>95</v>
      </c>
      <c r="K13">
        <v>4</v>
      </c>
      <c r="L13" s="2">
        <v>219003.07</v>
      </c>
      <c r="M13">
        <v>0.05</v>
      </c>
      <c r="N13">
        <v>37426.660000000003</v>
      </c>
    </row>
    <row r="14" spans="1:14" x14ac:dyDescent="0.35">
      <c r="A14" t="s">
        <v>96</v>
      </c>
      <c r="B14" s="1">
        <v>45662</v>
      </c>
      <c r="C14" t="s">
        <v>97</v>
      </c>
      <c r="D14" t="s">
        <v>98</v>
      </c>
      <c r="E14" t="s">
        <v>51</v>
      </c>
      <c r="F14" t="s">
        <v>99</v>
      </c>
      <c r="G14" t="s">
        <v>100</v>
      </c>
      <c r="H14" t="s">
        <v>38</v>
      </c>
      <c r="I14" t="s">
        <v>39</v>
      </c>
      <c r="J14" t="s">
        <v>40</v>
      </c>
      <c r="K14">
        <v>5</v>
      </c>
      <c r="L14" s="2">
        <v>2033.15</v>
      </c>
      <c r="M14">
        <v>0.2</v>
      </c>
      <c r="N14">
        <v>367.56</v>
      </c>
    </row>
    <row r="15" spans="1:14" x14ac:dyDescent="0.35">
      <c r="A15" t="s">
        <v>101</v>
      </c>
      <c r="B15" s="1">
        <v>45662</v>
      </c>
      <c r="C15" t="s">
        <v>102</v>
      </c>
      <c r="D15" t="s">
        <v>103</v>
      </c>
      <c r="E15" t="s">
        <v>51</v>
      </c>
      <c r="F15" t="s">
        <v>104</v>
      </c>
      <c r="G15" t="s">
        <v>105</v>
      </c>
      <c r="H15" t="s">
        <v>29</v>
      </c>
      <c r="I15" t="s">
        <v>94</v>
      </c>
      <c r="J15" t="s">
        <v>106</v>
      </c>
      <c r="K15">
        <v>6</v>
      </c>
      <c r="L15" s="2">
        <v>453718</v>
      </c>
      <c r="M15">
        <v>0</v>
      </c>
      <c r="N15">
        <v>36768.480000000003</v>
      </c>
    </row>
    <row r="16" spans="1:14" x14ac:dyDescent="0.35">
      <c r="A16" t="s">
        <v>107</v>
      </c>
      <c r="B16" s="1">
        <v>45662</v>
      </c>
      <c r="C16" t="s">
        <v>108</v>
      </c>
      <c r="D16" t="s">
        <v>109</v>
      </c>
      <c r="E16" t="s">
        <v>35</v>
      </c>
      <c r="F16" t="s">
        <v>110</v>
      </c>
      <c r="G16" t="s">
        <v>111</v>
      </c>
      <c r="H16" t="s">
        <v>29</v>
      </c>
      <c r="I16" t="s">
        <v>30</v>
      </c>
      <c r="J16" t="s">
        <v>112</v>
      </c>
      <c r="K16">
        <v>4</v>
      </c>
      <c r="L16" s="2">
        <v>118743.16</v>
      </c>
      <c r="M16">
        <v>0</v>
      </c>
      <c r="N16">
        <v>7531.62</v>
      </c>
    </row>
    <row r="17" spans="1:14" x14ac:dyDescent="0.35">
      <c r="A17" t="s">
        <v>113</v>
      </c>
      <c r="B17" s="1">
        <v>45662</v>
      </c>
      <c r="C17" t="s">
        <v>114</v>
      </c>
      <c r="D17" t="s">
        <v>115</v>
      </c>
      <c r="E17" t="s">
        <v>26</v>
      </c>
      <c r="F17" t="s">
        <v>44</v>
      </c>
      <c r="G17" t="s">
        <v>116</v>
      </c>
      <c r="H17" t="s">
        <v>20</v>
      </c>
      <c r="I17" t="s">
        <v>65</v>
      </c>
      <c r="J17" t="s">
        <v>117</v>
      </c>
      <c r="K17">
        <v>4</v>
      </c>
      <c r="L17" s="2">
        <v>23149.46</v>
      </c>
      <c r="M17">
        <v>0</v>
      </c>
      <c r="N17">
        <v>4726.58</v>
      </c>
    </row>
    <row r="18" spans="1:14" x14ac:dyDescent="0.35">
      <c r="A18" t="s">
        <v>118</v>
      </c>
      <c r="B18" s="1">
        <v>45662</v>
      </c>
      <c r="C18" t="s">
        <v>119</v>
      </c>
      <c r="D18" t="s">
        <v>120</v>
      </c>
      <c r="E18" t="s">
        <v>26</v>
      </c>
      <c r="F18" t="s">
        <v>121</v>
      </c>
      <c r="G18" t="s">
        <v>122</v>
      </c>
      <c r="H18" t="s">
        <v>29</v>
      </c>
      <c r="I18" t="s">
        <v>30</v>
      </c>
      <c r="J18" t="s">
        <v>31</v>
      </c>
      <c r="K18">
        <v>4</v>
      </c>
      <c r="L18" s="2">
        <v>75206.84</v>
      </c>
      <c r="M18">
        <v>0</v>
      </c>
      <c r="N18">
        <v>12750.78</v>
      </c>
    </row>
    <row r="19" spans="1:14" x14ac:dyDescent="0.35">
      <c r="A19" t="s">
        <v>123</v>
      </c>
      <c r="B19" s="1">
        <v>45664</v>
      </c>
      <c r="C19" t="s">
        <v>124</v>
      </c>
      <c r="D19" t="s">
        <v>43</v>
      </c>
      <c r="E19" t="s">
        <v>51</v>
      </c>
      <c r="F19" t="s">
        <v>52</v>
      </c>
      <c r="G19" t="s">
        <v>53</v>
      </c>
      <c r="H19" t="s">
        <v>29</v>
      </c>
      <c r="I19" t="s">
        <v>94</v>
      </c>
      <c r="J19" t="s">
        <v>106</v>
      </c>
      <c r="K19">
        <v>2</v>
      </c>
      <c r="L19" s="2">
        <v>165649.64000000001</v>
      </c>
      <c r="M19">
        <v>0</v>
      </c>
      <c r="N19">
        <v>23350.18</v>
      </c>
    </row>
    <row r="20" spans="1:14" x14ac:dyDescent="0.35">
      <c r="A20" t="s">
        <v>125</v>
      </c>
      <c r="B20" s="1">
        <v>45664</v>
      </c>
      <c r="C20" t="s">
        <v>126</v>
      </c>
      <c r="D20" t="s">
        <v>127</v>
      </c>
      <c r="E20" t="s">
        <v>35</v>
      </c>
      <c r="F20" t="s">
        <v>128</v>
      </c>
      <c r="G20" t="s">
        <v>129</v>
      </c>
      <c r="H20" t="s">
        <v>20</v>
      </c>
      <c r="I20" t="s">
        <v>46</v>
      </c>
      <c r="J20" t="s">
        <v>130</v>
      </c>
      <c r="K20">
        <v>2</v>
      </c>
      <c r="L20" s="2">
        <v>14922.81</v>
      </c>
      <c r="M20">
        <v>0.1</v>
      </c>
      <c r="N20">
        <v>1443.54</v>
      </c>
    </row>
    <row r="21" spans="1:14" x14ac:dyDescent="0.35">
      <c r="A21" t="s">
        <v>131</v>
      </c>
      <c r="B21" s="1">
        <v>45665</v>
      </c>
      <c r="C21" t="s">
        <v>132</v>
      </c>
      <c r="D21" t="s">
        <v>133</v>
      </c>
      <c r="E21" t="s">
        <v>35</v>
      </c>
      <c r="F21" t="s">
        <v>70</v>
      </c>
      <c r="G21" t="s">
        <v>71</v>
      </c>
      <c r="H21" t="s">
        <v>38</v>
      </c>
      <c r="I21" t="s">
        <v>39</v>
      </c>
      <c r="J21" t="s">
        <v>134</v>
      </c>
      <c r="K21">
        <v>2</v>
      </c>
      <c r="L21" s="2">
        <v>1501.69</v>
      </c>
      <c r="M21">
        <v>0</v>
      </c>
      <c r="N21">
        <v>251.77</v>
      </c>
    </row>
    <row r="22" spans="1:14" x14ac:dyDescent="0.35">
      <c r="A22" t="s">
        <v>135</v>
      </c>
      <c r="B22" s="1">
        <v>45665</v>
      </c>
      <c r="C22" t="s">
        <v>136</v>
      </c>
      <c r="D22" t="s">
        <v>137</v>
      </c>
      <c r="E22" t="s">
        <v>51</v>
      </c>
      <c r="F22" t="s">
        <v>63</v>
      </c>
      <c r="G22" t="s">
        <v>64</v>
      </c>
      <c r="H22" t="s">
        <v>29</v>
      </c>
      <c r="I22" t="s">
        <v>94</v>
      </c>
      <c r="J22" t="s">
        <v>138</v>
      </c>
      <c r="K22">
        <v>5</v>
      </c>
      <c r="L22" s="2">
        <v>225820.69</v>
      </c>
      <c r="M22">
        <v>0.05</v>
      </c>
      <c r="N22">
        <v>27047.09</v>
      </c>
    </row>
    <row r="23" spans="1:14" x14ac:dyDescent="0.35">
      <c r="A23" t="s">
        <v>139</v>
      </c>
      <c r="B23" s="1">
        <v>45665</v>
      </c>
      <c r="C23" t="s">
        <v>140</v>
      </c>
      <c r="D23" t="s">
        <v>141</v>
      </c>
      <c r="E23" t="s">
        <v>35</v>
      </c>
      <c r="F23" t="s">
        <v>110</v>
      </c>
      <c r="G23" t="s">
        <v>111</v>
      </c>
      <c r="H23" t="s">
        <v>20</v>
      </c>
      <c r="I23" t="s">
        <v>65</v>
      </c>
      <c r="J23" t="s">
        <v>142</v>
      </c>
      <c r="K23">
        <v>7</v>
      </c>
      <c r="L23" s="2">
        <v>134656.74</v>
      </c>
      <c r="M23">
        <v>0.05</v>
      </c>
      <c r="N23">
        <v>27778.9</v>
      </c>
    </row>
    <row r="24" spans="1:14" x14ac:dyDescent="0.35">
      <c r="A24" t="s">
        <v>143</v>
      </c>
      <c r="B24" s="1">
        <v>45666</v>
      </c>
      <c r="C24" t="s">
        <v>144</v>
      </c>
      <c r="D24" t="s">
        <v>145</v>
      </c>
      <c r="E24" t="s">
        <v>51</v>
      </c>
      <c r="F24" t="s">
        <v>52</v>
      </c>
      <c r="G24" t="s">
        <v>57</v>
      </c>
      <c r="H24" t="s">
        <v>29</v>
      </c>
      <c r="I24" t="s">
        <v>94</v>
      </c>
      <c r="J24" t="s">
        <v>138</v>
      </c>
      <c r="K24">
        <v>7</v>
      </c>
      <c r="L24" s="2">
        <v>292986.01</v>
      </c>
      <c r="M24">
        <v>0.1</v>
      </c>
      <c r="N24">
        <v>12829.97</v>
      </c>
    </row>
    <row r="25" spans="1:14" x14ac:dyDescent="0.35">
      <c r="A25" t="s">
        <v>146</v>
      </c>
      <c r="B25" s="1">
        <v>45666</v>
      </c>
      <c r="C25" t="s">
        <v>147</v>
      </c>
      <c r="D25" t="s">
        <v>148</v>
      </c>
      <c r="E25" t="s">
        <v>35</v>
      </c>
      <c r="F25" t="s">
        <v>70</v>
      </c>
      <c r="G25" t="s">
        <v>71</v>
      </c>
      <c r="H25" t="s">
        <v>29</v>
      </c>
      <c r="I25" t="s">
        <v>94</v>
      </c>
      <c r="J25" t="s">
        <v>95</v>
      </c>
      <c r="K25">
        <v>3</v>
      </c>
      <c r="L25" s="2">
        <v>148653.51</v>
      </c>
      <c r="M25">
        <v>0.2</v>
      </c>
      <c r="N25">
        <v>3232.63</v>
      </c>
    </row>
    <row r="26" spans="1:14" x14ac:dyDescent="0.35">
      <c r="A26" t="s">
        <v>149</v>
      </c>
      <c r="B26" s="1">
        <v>45666</v>
      </c>
      <c r="C26" t="s">
        <v>150</v>
      </c>
      <c r="D26" t="s">
        <v>151</v>
      </c>
      <c r="E26" t="s">
        <v>17</v>
      </c>
      <c r="F26" t="s">
        <v>76</v>
      </c>
      <c r="G26" t="s">
        <v>77</v>
      </c>
      <c r="H26" t="s">
        <v>29</v>
      </c>
      <c r="I26" t="s">
        <v>94</v>
      </c>
      <c r="J26" t="s">
        <v>138</v>
      </c>
      <c r="K26">
        <v>5</v>
      </c>
      <c r="L26" s="2">
        <v>202861.79</v>
      </c>
      <c r="M26">
        <v>0.05</v>
      </c>
      <c r="N26">
        <v>21185.11</v>
      </c>
    </row>
    <row r="27" spans="1:14" x14ac:dyDescent="0.35">
      <c r="A27" t="s">
        <v>152</v>
      </c>
      <c r="B27" s="1">
        <v>45666</v>
      </c>
      <c r="C27" t="s">
        <v>15</v>
      </c>
      <c r="D27" t="s">
        <v>137</v>
      </c>
      <c r="E27" t="s">
        <v>51</v>
      </c>
      <c r="F27" t="s">
        <v>63</v>
      </c>
      <c r="G27" t="s">
        <v>64</v>
      </c>
      <c r="H27" t="s">
        <v>20</v>
      </c>
      <c r="I27" t="s">
        <v>46</v>
      </c>
      <c r="J27" t="s">
        <v>47</v>
      </c>
      <c r="K27">
        <v>3</v>
      </c>
      <c r="L27" s="2">
        <v>21248.19</v>
      </c>
      <c r="M27">
        <v>0</v>
      </c>
      <c r="N27">
        <v>3439.73</v>
      </c>
    </row>
    <row r="28" spans="1:14" x14ac:dyDescent="0.35">
      <c r="A28" t="s">
        <v>153</v>
      </c>
      <c r="B28" s="1">
        <v>45667</v>
      </c>
      <c r="C28" t="s">
        <v>154</v>
      </c>
      <c r="D28" t="s">
        <v>155</v>
      </c>
      <c r="E28" t="s">
        <v>51</v>
      </c>
      <c r="F28" t="s">
        <v>92</v>
      </c>
      <c r="G28" t="s">
        <v>93</v>
      </c>
      <c r="H28" t="s">
        <v>20</v>
      </c>
      <c r="I28" t="s">
        <v>46</v>
      </c>
      <c r="J28" t="s">
        <v>47</v>
      </c>
      <c r="K28">
        <v>2</v>
      </c>
      <c r="L28" s="2">
        <v>12266.24</v>
      </c>
      <c r="M28">
        <v>0.1</v>
      </c>
      <c r="N28">
        <v>1637.25</v>
      </c>
    </row>
    <row r="29" spans="1:14" x14ac:dyDescent="0.35">
      <c r="A29" t="s">
        <v>156</v>
      </c>
      <c r="B29" s="1">
        <v>45667</v>
      </c>
      <c r="C29" t="s">
        <v>157</v>
      </c>
      <c r="D29" t="s">
        <v>158</v>
      </c>
      <c r="E29" t="s">
        <v>51</v>
      </c>
      <c r="F29" t="s">
        <v>92</v>
      </c>
      <c r="G29" t="s">
        <v>93</v>
      </c>
      <c r="H29" t="s">
        <v>29</v>
      </c>
      <c r="I29" t="s">
        <v>94</v>
      </c>
      <c r="J29" t="s">
        <v>106</v>
      </c>
      <c r="K29">
        <v>6</v>
      </c>
      <c r="L29" s="2">
        <v>366934.61</v>
      </c>
      <c r="M29">
        <v>0.2</v>
      </c>
      <c r="N29">
        <v>23294.95</v>
      </c>
    </row>
    <row r="30" spans="1:14" x14ac:dyDescent="0.35">
      <c r="A30" t="s">
        <v>159</v>
      </c>
      <c r="B30" s="1">
        <v>45667</v>
      </c>
      <c r="C30" t="s">
        <v>160</v>
      </c>
      <c r="D30" t="s">
        <v>161</v>
      </c>
      <c r="E30" t="s">
        <v>51</v>
      </c>
      <c r="F30" t="s">
        <v>104</v>
      </c>
      <c r="G30" t="s">
        <v>105</v>
      </c>
      <c r="H30" t="s">
        <v>20</v>
      </c>
      <c r="I30" t="s">
        <v>46</v>
      </c>
      <c r="J30" t="s">
        <v>47</v>
      </c>
      <c r="K30">
        <v>5</v>
      </c>
      <c r="L30" s="2">
        <v>30791.5</v>
      </c>
      <c r="M30">
        <v>0.1</v>
      </c>
      <c r="N30">
        <v>1683.23</v>
      </c>
    </row>
    <row r="31" spans="1:14" x14ac:dyDescent="0.35">
      <c r="A31" t="s">
        <v>162</v>
      </c>
      <c r="B31" s="1">
        <v>45667</v>
      </c>
      <c r="C31" t="s">
        <v>124</v>
      </c>
      <c r="D31" t="s">
        <v>75</v>
      </c>
      <c r="E31" t="s">
        <v>51</v>
      </c>
      <c r="F31" t="s">
        <v>52</v>
      </c>
      <c r="G31" t="s">
        <v>53</v>
      </c>
      <c r="H31" t="s">
        <v>29</v>
      </c>
      <c r="I31" t="s">
        <v>30</v>
      </c>
      <c r="J31" t="s">
        <v>31</v>
      </c>
      <c r="K31">
        <v>1</v>
      </c>
      <c r="L31" s="2">
        <v>14318.28</v>
      </c>
      <c r="M31">
        <v>0.15</v>
      </c>
      <c r="N31">
        <v>1128.98</v>
      </c>
    </row>
    <row r="32" spans="1:14" x14ac:dyDescent="0.35">
      <c r="A32" t="s">
        <v>163</v>
      </c>
      <c r="B32" s="1">
        <v>45667</v>
      </c>
      <c r="C32" t="s">
        <v>164</v>
      </c>
      <c r="D32" t="s">
        <v>165</v>
      </c>
      <c r="E32" t="s">
        <v>51</v>
      </c>
      <c r="F32" t="s">
        <v>104</v>
      </c>
      <c r="G32" t="s">
        <v>105</v>
      </c>
      <c r="H32" t="s">
        <v>29</v>
      </c>
      <c r="I32" t="s">
        <v>94</v>
      </c>
      <c r="J32" t="s">
        <v>138</v>
      </c>
      <c r="K32">
        <v>7</v>
      </c>
      <c r="L32" s="2">
        <v>251404.49</v>
      </c>
      <c r="M32">
        <v>0.2</v>
      </c>
      <c r="N32">
        <v>13135.76</v>
      </c>
    </row>
    <row r="33" spans="1:14" x14ac:dyDescent="0.35">
      <c r="A33" t="s">
        <v>166</v>
      </c>
      <c r="B33" s="1">
        <v>45668</v>
      </c>
      <c r="C33" t="s">
        <v>167</v>
      </c>
      <c r="D33" t="s">
        <v>168</v>
      </c>
      <c r="E33" t="s">
        <v>51</v>
      </c>
      <c r="F33" t="s">
        <v>52</v>
      </c>
      <c r="G33" t="s">
        <v>53</v>
      </c>
      <c r="H33" t="s">
        <v>29</v>
      </c>
      <c r="I33" t="s">
        <v>58</v>
      </c>
      <c r="J33" t="s">
        <v>59</v>
      </c>
      <c r="K33">
        <v>1</v>
      </c>
      <c r="L33" s="2">
        <v>818.61</v>
      </c>
      <c r="M33">
        <v>0.15</v>
      </c>
      <c r="N33">
        <v>37.1</v>
      </c>
    </row>
    <row r="34" spans="1:14" x14ac:dyDescent="0.35">
      <c r="A34" t="s">
        <v>169</v>
      </c>
      <c r="B34" s="1">
        <v>45668</v>
      </c>
      <c r="C34" t="s">
        <v>170</v>
      </c>
      <c r="D34" t="s">
        <v>171</v>
      </c>
      <c r="E34" t="s">
        <v>26</v>
      </c>
      <c r="F34" t="s">
        <v>44</v>
      </c>
      <c r="G34" t="s">
        <v>45</v>
      </c>
      <c r="H34" t="s">
        <v>38</v>
      </c>
      <c r="I34" t="s">
        <v>39</v>
      </c>
      <c r="J34" t="s">
        <v>40</v>
      </c>
      <c r="K34">
        <v>2</v>
      </c>
      <c r="L34" s="2">
        <v>833.99</v>
      </c>
      <c r="M34">
        <v>0.1</v>
      </c>
      <c r="N34">
        <v>167.7</v>
      </c>
    </row>
    <row r="35" spans="1:14" x14ac:dyDescent="0.35">
      <c r="A35" t="s">
        <v>172</v>
      </c>
      <c r="B35" s="1">
        <v>45668</v>
      </c>
      <c r="C35" t="s">
        <v>173</v>
      </c>
      <c r="D35" t="s">
        <v>137</v>
      </c>
      <c r="E35" t="s">
        <v>51</v>
      </c>
      <c r="F35" t="s">
        <v>52</v>
      </c>
      <c r="G35" t="s">
        <v>57</v>
      </c>
      <c r="H35" t="s">
        <v>38</v>
      </c>
      <c r="I35" t="s">
        <v>78</v>
      </c>
      <c r="J35" t="s">
        <v>174</v>
      </c>
      <c r="K35">
        <v>7</v>
      </c>
      <c r="L35" s="2">
        <v>2800.3</v>
      </c>
      <c r="M35">
        <v>0.05</v>
      </c>
      <c r="N35">
        <v>558.03</v>
      </c>
    </row>
    <row r="36" spans="1:14" x14ac:dyDescent="0.35">
      <c r="A36" t="s">
        <v>175</v>
      </c>
      <c r="B36" s="1">
        <v>45669</v>
      </c>
      <c r="C36" t="s">
        <v>176</v>
      </c>
      <c r="D36" t="s">
        <v>177</v>
      </c>
      <c r="E36" t="s">
        <v>51</v>
      </c>
      <c r="F36" t="s">
        <v>92</v>
      </c>
      <c r="G36" t="s">
        <v>178</v>
      </c>
      <c r="H36" t="s">
        <v>38</v>
      </c>
      <c r="I36" t="s">
        <v>39</v>
      </c>
      <c r="J36" t="s">
        <v>134</v>
      </c>
      <c r="K36">
        <v>2</v>
      </c>
      <c r="L36" s="2">
        <v>1419.08</v>
      </c>
      <c r="M36">
        <v>0</v>
      </c>
      <c r="N36">
        <v>132.88999999999999</v>
      </c>
    </row>
    <row r="37" spans="1:14" x14ac:dyDescent="0.35">
      <c r="A37" t="s">
        <v>179</v>
      </c>
      <c r="B37" s="1">
        <v>45669</v>
      </c>
      <c r="C37" t="s">
        <v>180</v>
      </c>
      <c r="D37" t="s">
        <v>181</v>
      </c>
      <c r="E37" t="s">
        <v>35</v>
      </c>
      <c r="F37" t="s">
        <v>128</v>
      </c>
      <c r="G37" t="s">
        <v>129</v>
      </c>
      <c r="H37" t="s">
        <v>29</v>
      </c>
      <c r="I37" t="s">
        <v>30</v>
      </c>
      <c r="J37" t="s">
        <v>182</v>
      </c>
      <c r="K37">
        <v>1</v>
      </c>
      <c r="L37" s="2">
        <v>44104.31</v>
      </c>
      <c r="M37">
        <v>0</v>
      </c>
      <c r="N37">
        <v>7317.68</v>
      </c>
    </row>
    <row r="38" spans="1:14" x14ac:dyDescent="0.35">
      <c r="A38" t="s">
        <v>183</v>
      </c>
      <c r="B38" s="1">
        <v>45669</v>
      </c>
      <c r="C38" t="s">
        <v>136</v>
      </c>
      <c r="D38" t="s">
        <v>184</v>
      </c>
      <c r="E38" t="s">
        <v>17</v>
      </c>
      <c r="F38" t="s">
        <v>185</v>
      </c>
      <c r="G38" t="s">
        <v>186</v>
      </c>
      <c r="H38" t="s">
        <v>20</v>
      </c>
      <c r="I38" t="s">
        <v>65</v>
      </c>
      <c r="J38" t="s">
        <v>142</v>
      </c>
      <c r="K38">
        <v>7</v>
      </c>
      <c r="L38" s="2">
        <v>127081.79</v>
      </c>
      <c r="M38">
        <v>0.2</v>
      </c>
      <c r="N38">
        <v>11330.15</v>
      </c>
    </row>
    <row r="39" spans="1:14" x14ac:dyDescent="0.35">
      <c r="A39" t="s">
        <v>187</v>
      </c>
      <c r="B39" s="1">
        <v>45669</v>
      </c>
      <c r="C39" t="s">
        <v>132</v>
      </c>
      <c r="D39" t="s">
        <v>188</v>
      </c>
      <c r="E39" t="s">
        <v>26</v>
      </c>
      <c r="F39" t="s">
        <v>121</v>
      </c>
      <c r="G39" t="s">
        <v>122</v>
      </c>
      <c r="H39" t="s">
        <v>20</v>
      </c>
      <c r="I39" t="s">
        <v>65</v>
      </c>
      <c r="J39" t="s">
        <v>142</v>
      </c>
      <c r="K39">
        <v>2</v>
      </c>
      <c r="L39" s="2">
        <v>42548.160000000003</v>
      </c>
      <c r="M39">
        <v>0.1</v>
      </c>
      <c r="N39">
        <v>2088.0500000000002</v>
      </c>
    </row>
    <row r="40" spans="1:14" x14ac:dyDescent="0.35">
      <c r="A40" t="s">
        <v>189</v>
      </c>
      <c r="B40" s="1">
        <v>45670</v>
      </c>
      <c r="C40" t="s">
        <v>74</v>
      </c>
      <c r="D40" t="s">
        <v>190</v>
      </c>
      <c r="E40" t="s">
        <v>51</v>
      </c>
      <c r="F40" t="s">
        <v>63</v>
      </c>
      <c r="G40" t="s">
        <v>64</v>
      </c>
      <c r="H40" t="s">
        <v>29</v>
      </c>
      <c r="I40" t="s">
        <v>94</v>
      </c>
      <c r="J40" t="s">
        <v>138</v>
      </c>
      <c r="K40">
        <v>6</v>
      </c>
      <c r="L40" s="2">
        <v>230870.39999999999</v>
      </c>
      <c r="M40">
        <v>0.1</v>
      </c>
      <c r="N40">
        <v>24003.42</v>
      </c>
    </row>
    <row r="41" spans="1:14" x14ac:dyDescent="0.35">
      <c r="A41" t="s">
        <v>191</v>
      </c>
      <c r="B41" s="1">
        <v>45670</v>
      </c>
      <c r="C41" t="s">
        <v>192</v>
      </c>
      <c r="D41" t="s">
        <v>193</v>
      </c>
      <c r="E41" t="s">
        <v>51</v>
      </c>
      <c r="F41" t="s">
        <v>52</v>
      </c>
      <c r="G41" t="s">
        <v>53</v>
      </c>
      <c r="H41" t="s">
        <v>20</v>
      </c>
      <c r="I41" t="s">
        <v>65</v>
      </c>
      <c r="J41" t="s">
        <v>142</v>
      </c>
      <c r="K41">
        <v>7</v>
      </c>
      <c r="L41" s="2">
        <v>129167.7</v>
      </c>
      <c r="M41">
        <v>0.1</v>
      </c>
      <c r="N41">
        <v>26427.62</v>
      </c>
    </row>
    <row r="42" spans="1:14" x14ac:dyDescent="0.35">
      <c r="A42" t="s">
        <v>194</v>
      </c>
      <c r="B42" s="1">
        <v>45670</v>
      </c>
      <c r="C42" t="s">
        <v>195</v>
      </c>
      <c r="D42" t="s">
        <v>196</v>
      </c>
      <c r="E42" t="s">
        <v>51</v>
      </c>
      <c r="F42" t="s">
        <v>92</v>
      </c>
      <c r="G42" t="s">
        <v>178</v>
      </c>
      <c r="H42" t="s">
        <v>20</v>
      </c>
      <c r="I42" t="s">
        <v>21</v>
      </c>
      <c r="J42" t="s">
        <v>197</v>
      </c>
      <c r="K42">
        <v>4</v>
      </c>
      <c r="L42" s="2">
        <v>39922.61</v>
      </c>
      <c r="M42">
        <v>0.15</v>
      </c>
      <c r="N42">
        <v>3739.37</v>
      </c>
    </row>
    <row r="43" spans="1:14" x14ac:dyDescent="0.35">
      <c r="A43" t="s">
        <v>198</v>
      </c>
      <c r="B43" s="1">
        <v>45671</v>
      </c>
      <c r="C43" t="s">
        <v>199</v>
      </c>
      <c r="D43" t="s">
        <v>200</v>
      </c>
      <c r="E43" t="s">
        <v>35</v>
      </c>
      <c r="F43" t="s">
        <v>36</v>
      </c>
      <c r="G43" t="s">
        <v>37</v>
      </c>
      <c r="H43" t="s">
        <v>20</v>
      </c>
      <c r="I43" t="s">
        <v>46</v>
      </c>
      <c r="J43" t="s">
        <v>130</v>
      </c>
      <c r="K43">
        <v>2</v>
      </c>
      <c r="L43" s="2">
        <v>14717.32</v>
      </c>
      <c r="M43">
        <v>0.15</v>
      </c>
      <c r="N43">
        <v>475.31</v>
      </c>
    </row>
    <row r="44" spans="1:14" x14ac:dyDescent="0.35">
      <c r="A44" t="s">
        <v>201</v>
      </c>
      <c r="B44" s="1">
        <v>45671</v>
      </c>
      <c r="C44" t="s">
        <v>55</v>
      </c>
      <c r="D44" t="s">
        <v>202</v>
      </c>
      <c r="E44" t="s">
        <v>26</v>
      </c>
      <c r="F44" t="s">
        <v>44</v>
      </c>
      <c r="G44" t="s">
        <v>116</v>
      </c>
      <c r="H44" t="s">
        <v>20</v>
      </c>
      <c r="I44" t="s">
        <v>46</v>
      </c>
      <c r="J44" t="s">
        <v>203</v>
      </c>
      <c r="K44">
        <v>7</v>
      </c>
      <c r="L44" s="2">
        <v>33056.089999999997</v>
      </c>
      <c r="M44">
        <v>0.05</v>
      </c>
      <c r="N44">
        <v>6935.53</v>
      </c>
    </row>
    <row r="45" spans="1:14" x14ac:dyDescent="0.35">
      <c r="A45" t="s">
        <v>204</v>
      </c>
      <c r="B45" s="1">
        <v>45672</v>
      </c>
      <c r="C45" t="s">
        <v>205</v>
      </c>
      <c r="D45" t="s">
        <v>75</v>
      </c>
      <c r="E45" t="s">
        <v>51</v>
      </c>
      <c r="F45" t="s">
        <v>104</v>
      </c>
      <c r="G45" t="s">
        <v>206</v>
      </c>
      <c r="H45" t="s">
        <v>20</v>
      </c>
      <c r="I45" t="s">
        <v>46</v>
      </c>
      <c r="J45" t="s">
        <v>130</v>
      </c>
      <c r="K45">
        <v>7</v>
      </c>
      <c r="L45" s="2">
        <v>49976.78</v>
      </c>
      <c r="M45">
        <v>0.2</v>
      </c>
      <c r="N45">
        <v>8422.99</v>
      </c>
    </row>
    <row r="46" spans="1:14" x14ac:dyDescent="0.35">
      <c r="A46" t="s">
        <v>207</v>
      </c>
      <c r="B46" s="1">
        <v>45672</v>
      </c>
      <c r="C46" t="s">
        <v>208</v>
      </c>
      <c r="D46" t="s">
        <v>209</v>
      </c>
      <c r="E46" t="s">
        <v>17</v>
      </c>
      <c r="F46" t="s">
        <v>210</v>
      </c>
      <c r="G46" t="s">
        <v>211</v>
      </c>
      <c r="H46" t="s">
        <v>20</v>
      </c>
      <c r="I46" t="s">
        <v>65</v>
      </c>
      <c r="J46" t="s">
        <v>66</v>
      </c>
      <c r="K46">
        <v>3</v>
      </c>
      <c r="L46" s="2">
        <v>24972.45</v>
      </c>
      <c r="M46">
        <v>0.1</v>
      </c>
      <c r="N46">
        <v>1624.93</v>
      </c>
    </row>
    <row r="47" spans="1:14" x14ac:dyDescent="0.35">
      <c r="A47" t="s">
        <v>212</v>
      </c>
      <c r="B47" s="1">
        <v>45673</v>
      </c>
      <c r="C47" t="s">
        <v>74</v>
      </c>
      <c r="D47" t="s">
        <v>213</v>
      </c>
      <c r="E47" t="s">
        <v>26</v>
      </c>
      <c r="F47" t="s">
        <v>121</v>
      </c>
      <c r="G47" t="s">
        <v>214</v>
      </c>
      <c r="H47" t="s">
        <v>29</v>
      </c>
      <c r="I47" t="s">
        <v>30</v>
      </c>
      <c r="J47" t="s">
        <v>182</v>
      </c>
      <c r="K47">
        <v>1</v>
      </c>
      <c r="L47" s="2">
        <v>42349.91</v>
      </c>
      <c r="M47">
        <v>0</v>
      </c>
      <c r="N47">
        <v>5710.61</v>
      </c>
    </row>
    <row r="48" spans="1:14" x14ac:dyDescent="0.35">
      <c r="A48" t="s">
        <v>215</v>
      </c>
      <c r="B48" s="1">
        <v>45673</v>
      </c>
      <c r="C48" t="s">
        <v>216</v>
      </c>
      <c r="D48" t="s">
        <v>217</v>
      </c>
      <c r="E48" t="s">
        <v>51</v>
      </c>
      <c r="F48" t="s">
        <v>52</v>
      </c>
      <c r="G48" t="s">
        <v>57</v>
      </c>
      <c r="H48" t="s">
        <v>38</v>
      </c>
      <c r="I48" t="s">
        <v>218</v>
      </c>
      <c r="J48" t="s">
        <v>219</v>
      </c>
      <c r="K48">
        <v>2</v>
      </c>
      <c r="L48" s="2">
        <v>544.04999999999995</v>
      </c>
      <c r="M48">
        <v>0.15</v>
      </c>
      <c r="N48">
        <v>105.61</v>
      </c>
    </row>
    <row r="49" spans="1:14" x14ac:dyDescent="0.35">
      <c r="A49" t="s">
        <v>222</v>
      </c>
      <c r="B49" s="1">
        <v>45673</v>
      </c>
      <c r="C49" t="s">
        <v>223</v>
      </c>
      <c r="D49" t="s">
        <v>224</v>
      </c>
      <c r="E49" t="s">
        <v>35</v>
      </c>
      <c r="F49" t="s">
        <v>110</v>
      </c>
      <c r="G49" t="s">
        <v>111</v>
      </c>
      <c r="H49" t="s">
        <v>38</v>
      </c>
      <c r="I49" t="s">
        <v>218</v>
      </c>
      <c r="J49" t="s">
        <v>225</v>
      </c>
      <c r="K49">
        <v>5</v>
      </c>
      <c r="L49" s="2">
        <v>1245.31</v>
      </c>
      <c r="M49">
        <v>0</v>
      </c>
      <c r="N49">
        <v>240.12</v>
      </c>
    </row>
    <row r="50" spans="1:14" x14ac:dyDescent="0.35">
      <c r="A50" t="s">
        <v>226</v>
      </c>
      <c r="B50" s="1">
        <v>45674</v>
      </c>
      <c r="C50" t="s">
        <v>227</v>
      </c>
      <c r="D50" t="s">
        <v>228</v>
      </c>
      <c r="E50" t="s">
        <v>35</v>
      </c>
      <c r="F50" t="s">
        <v>110</v>
      </c>
      <c r="G50" t="s">
        <v>111</v>
      </c>
      <c r="H50" t="s">
        <v>20</v>
      </c>
      <c r="I50" t="s">
        <v>21</v>
      </c>
      <c r="J50" t="s">
        <v>22</v>
      </c>
      <c r="K50">
        <v>2</v>
      </c>
      <c r="L50" s="2">
        <v>10817.11</v>
      </c>
      <c r="M50">
        <v>0.2</v>
      </c>
      <c r="N50">
        <v>1167.69</v>
      </c>
    </row>
    <row r="51" spans="1:14" x14ac:dyDescent="0.35">
      <c r="A51" t="s">
        <v>229</v>
      </c>
      <c r="B51" s="1">
        <v>45674</v>
      </c>
      <c r="C51" t="s">
        <v>167</v>
      </c>
      <c r="D51" t="s">
        <v>230</v>
      </c>
      <c r="E51" t="s">
        <v>51</v>
      </c>
      <c r="F51" t="s">
        <v>99</v>
      </c>
      <c r="G51" t="s">
        <v>231</v>
      </c>
      <c r="H51" t="s">
        <v>38</v>
      </c>
      <c r="I51" t="s">
        <v>218</v>
      </c>
      <c r="J51" t="s">
        <v>225</v>
      </c>
      <c r="K51">
        <v>4</v>
      </c>
      <c r="L51" s="2">
        <v>837.74</v>
      </c>
      <c r="M51">
        <v>0.1</v>
      </c>
      <c r="N51">
        <v>140.25</v>
      </c>
    </row>
    <row r="52" spans="1:14" x14ac:dyDescent="0.35">
      <c r="A52" t="s">
        <v>232</v>
      </c>
      <c r="B52" s="1">
        <v>45674</v>
      </c>
      <c r="C52" t="s">
        <v>233</v>
      </c>
      <c r="D52" t="s">
        <v>234</v>
      </c>
      <c r="E52" t="s">
        <v>26</v>
      </c>
      <c r="F52" t="s">
        <v>27</v>
      </c>
      <c r="G52" t="s">
        <v>28</v>
      </c>
      <c r="H52" t="s">
        <v>29</v>
      </c>
      <c r="I52" t="s">
        <v>94</v>
      </c>
      <c r="J52" t="s">
        <v>106</v>
      </c>
      <c r="K52">
        <v>6</v>
      </c>
      <c r="L52" s="2">
        <v>462270.63</v>
      </c>
      <c r="M52">
        <v>0.05</v>
      </c>
      <c r="N52">
        <v>103104.95</v>
      </c>
    </row>
    <row r="53" spans="1:14" x14ac:dyDescent="0.35">
      <c r="A53" t="s">
        <v>235</v>
      </c>
      <c r="B53" s="1">
        <v>45674</v>
      </c>
      <c r="C53" t="s">
        <v>236</v>
      </c>
      <c r="D53" t="s">
        <v>237</v>
      </c>
      <c r="E53" t="s">
        <v>51</v>
      </c>
      <c r="F53" t="s">
        <v>99</v>
      </c>
      <c r="G53" t="s">
        <v>100</v>
      </c>
      <c r="H53" t="s">
        <v>29</v>
      </c>
      <c r="I53" t="s">
        <v>58</v>
      </c>
      <c r="J53" t="s">
        <v>59</v>
      </c>
      <c r="K53">
        <v>6</v>
      </c>
      <c r="L53" s="2">
        <v>5186.09</v>
      </c>
      <c r="M53">
        <v>0</v>
      </c>
      <c r="N53">
        <v>994.28</v>
      </c>
    </row>
    <row r="54" spans="1:14" x14ac:dyDescent="0.35">
      <c r="A54" t="s">
        <v>238</v>
      </c>
      <c r="B54" s="1">
        <v>45675</v>
      </c>
      <c r="C54" t="s">
        <v>239</v>
      </c>
      <c r="D54" t="s">
        <v>240</v>
      </c>
      <c r="E54" t="s">
        <v>51</v>
      </c>
      <c r="F54" t="s">
        <v>92</v>
      </c>
      <c r="G54" t="s">
        <v>178</v>
      </c>
      <c r="H54" t="s">
        <v>20</v>
      </c>
      <c r="I54" t="s">
        <v>65</v>
      </c>
      <c r="J54" t="s">
        <v>66</v>
      </c>
      <c r="K54">
        <v>2</v>
      </c>
      <c r="L54" s="2">
        <v>17845.91</v>
      </c>
      <c r="M54">
        <v>0</v>
      </c>
      <c r="N54">
        <v>1287.92</v>
      </c>
    </row>
    <row r="55" spans="1:14" x14ac:dyDescent="0.35">
      <c r="A55" t="s">
        <v>241</v>
      </c>
      <c r="B55" s="1">
        <v>45675</v>
      </c>
      <c r="C55" t="s">
        <v>242</v>
      </c>
      <c r="D55" t="s">
        <v>243</v>
      </c>
      <c r="E55" t="s">
        <v>26</v>
      </c>
      <c r="F55" t="s">
        <v>121</v>
      </c>
      <c r="G55" t="s">
        <v>122</v>
      </c>
      <c r="H55" t="s">
        <v>20</v>
      </c>
      <c r="I55" t="s">
        <v>65</v>
      </c>
      <c r="J55" t="s">
        <v>66</v>
      </c>
      <c r="K55">
        <v>7</v>
      </c>
      <c r="L55" s="2">
        <v>59697.440000000002</v>
      </c>
      <c r="M55">
        <v>0.15</v>
      </c>
      <c r="N55">
        <v>6346.29</v>
      </c>
    </row>
    <row r="56" spans="1:14" x14ac:dyDescent="0.35">
      <c r="A56" t="s">
        <v>244</v>
      </c>
      <c r="B56" s="1">
        <v>45676</v>
      </c>
      <c r="C56" t="s">
        <v>97</v>
      </c>
      <c r="D56" t="s">
        <v>245</v>
      </c>
      <c r="E56" t="s">
        <v>35</v>
      </c>
      <c r="F56" t="s">
        <v>70</v>
      </c>
      <c r="G56" t="s">
        <v>71</v>
      </c>
      <c r="H56" t="s">
        <v>20</v>
      </c>
      <c r="I56" t="s">
        <v>21</v>
      </c>
      <c r="J56" t="s">
        <v>22</v>
      </c>
      <c r="K56">
        <v>1</v>
      </c>
      <c r="L56" s="2">
        <v>6214.79</v>
      </c>
      <c r="M56">
        <v>0</v>
      </c>
      <c r="N56">
        <v>401.01</v>
      </c>
    </row>
    <row r="57" spans="1:14" x14ac:dyDescent="0.35">
      <c r="A57" t="s">
        <v>246</v>
      </c>
      <c r="B57" s="1">
        <v>45676</v>
      </c>
      <c r="C57" t="s">
        <v>247</v>
      </c>
      <c r="D57" t="s">
        <v>248</v>
      </c>
      <c r="E57" t="s">
        <v>26</v>
      </c>
      <c r="F57" t="s">
        <v>27</v>
      </c>
      <c r="G57" t="s">
        <v>249</v>
      </c>
      <c r="H57" t="s">
        <v>29</v>
      </c>
      <c r="I57" t="s">
        <v>30</v>
      </c>
      <c r="J57" t="s">
        <v>112</v>
      </c>
      <c r="K57">
        <v>5</v>
      </c>
      <c r="L57" s="2">
        <v>146356.22</v>
      </c>
      <c r="M57">
        <v>0</v>
      </c>
      <c r="N57">
        <v>16309.42</v>
      </c>
    </row>
    <row r="58" spans="1:14" x14ac:dyDescent="0.35">
      <c r="A58" t="s">
        <v>250</v>
      </c>
      <c r="B58" s="1">
        <v>45676</v>
      </c>
      <c r="C58" t="s">
        <v>251</v>
      </c>
      <c r="D58" t="s">
        <v>56</v>
      </c>
      <c r="E58" t="s">
        <v>17</v>
      </c>
      <c r="F58" t="s">
        <v>76</v>
      </c>
      <c r="G58" t="s">
        <v>77</v>
      </c>
      <c r="H58" t="s">
        <v>29</v>
      </c>
      <c r="I58" t="s">
        <v>58</v>
      </c>
      <c r="J58" t="s">
        <v>88</v>
      </c>
      <c r="K58">
        <v>5</v>
      </c>
      <c r="L58" s="2">
        <v>12264.66</v>
      </c>
      <c r="M58">
        <v>0.05</v>
      </c>
      <c r="N58">
        <v>1162.33</v>
      </c>
    </row>
    <row r="59" spans="1:14" x14ac:dyDescent="0.35">
      <c r="A59" t="s">
        <v>252</v>
      </c>
      <c r="B59" s="1">
        <v>45677</v>
      </c>
      <c r="C59" t="s">
        <v>253</v>
      </c>
      <c r="D59" t="s">
        <v>254</v>
      </c>
      <c r="E59" t="s">
        <v>35</v>
      </c>
      <c r="F59" t="s">
        <v>36</v>
      </c>
      <c r="G59" t="s">
        <v>255</v>
      </c>
      <c r="H59" t="s">
        <v>20</v>
      </c>
      <c r="I59" t="s">
        <v>65</v>
      </c>
      <c r="J59" t="s">
        <v>66</v>
      </c>
      <c r="K59">
        <v>5</v>
      </c>
      <c r="L59" s="2">
        <v>38029.019999999997</v>
      </c>
      <c r="M59">
        <v>0.15</v>
      </c>
      <c r="N59">
        <v>1618.12</v>
      </c>
    </row>
    <row r="60" spans="1:14" x14ac:dyDescent="0.35">
      <c r="A60" t="s">
        <v>256</v>
      </c>
      <c r="B60" s="1">
        <v>45677</v>
      </c>
      <c r="C60" t="s">
        <v>257</v>
      </c>
      <c r="D60" t="s">
        <v>234</v>
      </c>
      <c r="E60" t="s">
        <v>51</v>
      </c>
      <c r="F60" t="s">
        <v>99</v>
      </c>
      <c r="G60" t="s">
        <v>100</v>
      </c>
      <c r="H60" t="s">
        <v>38</v>
      </c>
      <c r="I60" t="s">
        <v>39</v>
      </c>
      <c r="J60" t="s">
        <v>258</v>
      </c>
      <c r="K60">
        <v>5</v>
      </c>
      <c r="L60" s="2">
        <v>3311.44</v>
      </c>
      <c r="M60">
        <v>0.05</v>
      </c>
      <c r="N60">
        <v>703.93</v>
      </c>
    </row>
    <row r="61" spans="1:14" x14ac:dyDescent="0.35">
      <c r="A61" t="s">
        <v>259</v>
      </c>
      <c r="B61" s="1">
        <v>45677</v>
      </c>
      <c r="C61" t="s">
        <v>160</v>
      </c>
      <c r="D61" t="s">
        <v>260</v>
      </c>
      <c r="E61" t="s">
        <v>17</v>
      </c>
      <c r="F61" t="s">
        <v>18</v>
      </c>
      <c r="G61" t="s">
        <v>19</v>
      </c>
      <c r="H61" t="s">
        <v>29</v>
      </c>
      <c r="I61" t="s">
        <v>30</v>
      </c>
      <c r="J61" t="s">
        <v>31</v>
      </c>
      <c r="K61">
        <v>1</v>
      </c>
      <c r="L61" s="2">
        <v>15444.89</v>
      </c>
      <c r="M61">
        <v>0.15</v>
      </c>
      <c r="N61">
        <v>1942.72</v>
      </c>
    </row>
    <row r="62" spans="1:14" x14ac:dyDescent="0.35">
      <c r="A62" t="s">
        <v>261</v>
      </c>
      <c r="B62" s="1">
        <v>45678</v>
      </c>
      <c r="C62" t="s">
        <v>262</v>
      </c>
      <c r="D62" t="s">
        <v>263</v>
      </c>
      <c r="E62" t="s">
        <v>26</v>
      </c>
      <c r="F62" t="s">
        <v>121</v>
      </c>
      <c r="G62" t="s">
        <v>214</v>
      </c>
      <c r="H62" t="s">
        <v>29</v>
      </c>
      <c r="I62" t="s">
        <v>30</v>
      </c>
      <c r="J62" t="s">
        <v>182</v>
      </c>
      <c r="K62">
        <v>6</v>
      </c>
      <c r="L62" s="2">
        <v>258108.29</v>
      </c>
      <c r="M62">
        <v>0.05</v>
      </c>
      <c r="N62">
        <v>35454.949999999997</v>
      </c>
    </row>
    <row r="63" spans="1:14" x14ac:dyDescent="0.35">
      <c r="A63" t="s">
        <v>264</v>
      </c>
      <c r="B63" s="1">
        <v>45678</v>
      </c>
      <c r="C63" t="s">
        <v>265</v>
      </c>
      <c r="D63" t="s">
        <v>266</v>
      </c>
      <c r="E63" t="s">
        <v>26</v>
      </c>
      <c r="F63" t="s">
        <v>27</v>
      </c>
      <c r="G63" t="s">
        <v>267</v>
      </c>
      <c r="H63" t="s">
        <v>20</v>
      </c>
      <c r="I63" t="s">
        <v>46</v>
      </c>
      <c r="J63" t="s">
        <v>203</v>
      </c>
      <c r="K63">
        <v>7</v>
      </c>
      <c r="L63" s="2">
        <v>30788.27</v>
      </c>
      <c r="M63">
        <v>0.15</v>
      </c>
      <c r="N63">
        <v>6219.05</v>
      </c>
    </row>
    <row r="64" spans="1:14" x14ac:dyDescent="0.35">
      <c r="A64" t="s">
        <v>268</v>
      </c>
      <c r="B64" s="1">
        <v>45679</v>
      </c>
      <c r="C64" t="s">
        <v>269</v>
      </c>
      <c r="D64" t="s">
        <v>270</v>
      </c>
      <c r="E64" t="s">
        <v>17</v>
      </c>
      <c r="F64" t="s">
        <v>76</v>
      </c>
      <c r="G64" t="s">
        <v>77</v>
      </c>
      <c r="H64" t="s">
        <v>29</v>
      </c>
      <c r="I64" t="s">
        <v>94</v>
      </c>
      <c r="J64" t="s">
        <v>138</v>
      </c>
      <c r="K64">
        <v>4</v>
      </c>
      <c r="L64" s="2">
        <v>165240.76</v>
      </c>
      <c r="M64">
        <v>0.1</v>
      </c>
      <c r="N64">
        <v>16024.87</v>
      </c>
    </row>
    <row r="65" spans="1:14" x14ac:dyDescent="0.35">
      <c r="A65" t="s">
        <v>271</v>
      </c>
      <c r="B65" s="1">
        <v>45679</v>
      </c>
      <c r="C65" t="s">
        <v>55</v>
      </c>
      <c r="D65" t="s">
        <v>230</v>
      </c>
      <c r="E65" t="s">
        <v>51</v>
      </c>
      <c r="F65" t="s">
        <v>52</v>
      </c>
      <c r="G65" t="s">
        <v>57</v>
      </c>
      <c r="H65" t="s">
        <v>20</v>
      </c>
      <c r="I65" t="s">
        <v>46</v>
      </c>
      <c r="J65" t="s">
        <v>203</v>
      </c>
      <c r="K65">
        <v>1</v>
      </c>
      <c r="L65" s="2">
        <v>4782.33</v>
      </c>
      <c r="M65">
        <v>0.05</v>
      </c>
      <c r="N65">
        <v>677.11</v>
      </c>
    </row>
    <row r="66" spans="1:14" x14ac:dyDescent="0.35">
      <c r="A66" t="s">
        <v>272</v>
      </c>
      <c r="B66" s="1">
        <v>45679</v>
      </c>
      <c r="C66" t="s">
        <v>273</v>
      </c>
      <c r="D66" t="s">
        <v>274</v>
      </c>
      <c r="E66" t="s">
        <v>35</v>
      </c>
      <c r="F66" t="s">
        <v>128</v>
      </c>
      <c r="G66" t="s">
        <v>129</v>
      </c>
      <c r="H66" t="s">
        <v>38</v>
      </c>
      <c r="I66" t="s">
        <v>78</v>
      </c>
      <c r="J66" t="s">
        <v>79</v>
      </c>
      <c r="K66">
        <v>6</v>
      </c>
      <c r="L66" s="2">
        <v>1933.32</v>
      </c>
      <c r="M66">
        <v>0</v>
      </c>
      <c r="N66">
        <v>195.07</v>
      </c>
    </row>
    <row r="67" spans="1:14" x14ac:dyDescent="0.35">
      <c r="A67" t="s">
        <v>275</v>
      </c>
      <c r="B67" s="1">
        <v>45681</v>
      </c>
      <c r="C67" t="s">
        <v>276</v>
      </c>
      <c r="D67" t="s">
        <v>120</v>
      </c>
      <c r="E67" t="s">
        <v>35</v>
      </c>
      <c r="F67" t="s">
        <v>110</v>
      </c>
      <c r="G67" t="s">
        <v>111</v>
      </c>
      <c r="H67" t="s">
        <v>20</v>
      </c>
      <c r="I67" t="s">
        <v>46</v>
      </c>
      <c r="J67" t="s">
        <v>47</v>
      </c>
      <c r="K67">
        <v>7</v>
      </c>
      <c r="L67" s="2">
        <v>49292.89</v>
      </c>
      <c r="M67">
        <v>0.05</v>
      </c>
      <c r="N67">
        <v>8916.61</v>
      </c>
    </row>
    <row r="68" spans="1:14" x14ac:dyDescent="0.35">
      <c r="A68" t="s">
        <v>277</v>
      </c>
      <c r="B68" s="1">
        <v>45682</v>
      </c>
      <c r="C68" t="s">
        <v>278</v>
      </c>
      <c r="D68" t="s">
        <v>279</v>
      </c>
      <c r="E68" t="s">
        <v>26</v>
      </c>
      <c r="F68" t="s">
        <v>27</v>
      </c>
      <c r="G68" t="s">
        <v>267</v>
      </c>
      <c r="H68" t="s">
        <v>20</v>
      </c>
      <c r="I68" t="s">
        <v>65</v>
      </c>
      <c r="J68" t="s">
        <v>66</v>
      </c>
      <c r="K68">
        <v>6</v>
      </c>
      <c r="L68" s="2">
        <v>57023.4</v>
      </c>
      <c r="M68">
        <v>0</v>
      </c>
      <c r="N68">
        <v>7513.37</v>
      </c>
    </row>
    <row r="69" spans="1:14" x14ac:dyDescent="0.35">
      <c r="A69" t="s">
        <v>280</v>
      </c>
      <c r="B69" s="1">
        <v>45682</v>
      </c>
      <c r="C69" t="s">
        <v>281</v>
      </c>
      <c r="D69" t="s">
        <v>260</v>
      </c>
      <c r="E69" t="s">
        <v>17</v>
      </c>
      <c r="F69" t="s">
        <v>210</v>
      </c>
      <c r="G69" t="s">
        <v>211</v>
      </c>
      <c r="H69" t="s">
        <v>38</v>
      </c>
      <c r="I69" t="s">
        <v>218</v>
      </c>
      <c r="J69" t="s">
        <v>225</v>
      </c>
      <c r="K69">
        <v>1</v>
      </c>
      <c r="L69" s="2">
        <v>190.7</v>
      </c>
      <c r="M69">
        <v>0.2</v>
      </c>
      <c r="N69">
        <v>4.22</v>
      </c>
    </row>
    <row r="70" spans="1:14" x14ac:dyDescent="0.35">
      <c r="A70" t="s">
        <v>282</v>
      </c>
      <c r="B70" s="1">
        <v>45682</v>
      </c>
      <c r="C70" t="s">
        <v>283</v>
      </c>
      <c r="D70" t="s">
        <v>284</v>
      </c>
      <c r="E70" t="s">
        <v>26</v>
      </c>
      <c r="F70" t="s">
        <v>86</v>
      </c>
      <c r="G70" t="s">
        <v>87</v>
      </c>
      <c r="H70" t="s">
        <v>29</v>
      </c>
      <c r="I70" t="s">
        <v>30</v>
      </c>
      <c r="J70" t="s">
        <v>182</v>
      </c>
      <c r="K70">
        <v>1</v>
      </c>
      <c r="L70" s="2">
        <v>33046.33</v>
      </c>
      <c r="M70">
        <v>0.15</v>
      </c>
      <c r="N70">
        <v>2948.7</v>
      </c>
    </row>
    <row r="71" spans="1:14" x14ac:dyDescent="0.35">
      <c r="A71" t="s">
        <v>285</v>
      </c>
      <c r="B71" s="1">
        <v>45683</v>
      </c>
      <c r="C71" t="s">
        <v>286</v>
      </c>
      <c r="D71" t="s">
        <v>287</v>
      </c>
      <c r="E71" t="s">
        <v>51</v>
      </c>
      <c r="F71" t="s">
        <v>52</v>
      </c>
      <c r="G71" t="s">
        <v>53</v>
      </c>
      <c r="H71" t="s">
        <v>20</v>
      </c>
      <c r="I71" t="s">
        <v>65</v>
      </c>
      <c r="J71" t="s">
        <v>117</v>
      </c>
      <c r="K71">
        <v>1</v>
      </c>
      <c r="L71" s="2">
        <v>5232.33</v>
      </c>
      <c r="M71">
        <v>0</v>
      </c>
      <c r="N71">
        <v>446.55</v>
      </c>
    </row>
    <row r="72" spans="1:14" x14ac:dyDescent="0.35">
      <c r="A72" t="s">
        <v>288</v>
      </c>
      <c r="B72" s="1">
        <v>45683</v>
      </c>
      <c r="C72" t="s">
        <v>289</v>
      </c>
      <c r="D72" t="s">
        <v>290</v>
      </c>
      <c r="E72" t="s">
        <v>17</v>
      </c>
      <c r="F72" t="s">
        <v>185</v>
      </c>
      <c r="G72" t="s">
        <v>186</v>
      </c>
      <c r="H72" t="s">
        <v>20</v>
      </c>
      <c r="I72" t="s">
        <v>46</v>
      </c>
      <c r="J72" t="s">
        <v>203</v>
      </c>
      <c r="K72">
        <v>2</v>
      </c>
      <c r="L72" s="2">
        <v>8766.6200000000008</v>
      </c>
      <c r="M72">
        <v>0.05</v>
      </c>
      <c r="N72">
        <v>823.59</v>
      </c>
    </row>
    <row r="73" spans="1:14" x14ac:dyDescent="0.35">
      <c r="A73" t="s">
        <v>291</v>
      </c>
      <c r="B73" s="1">
        <v>45683</v>
      </c>
      <c r="C73" t="s">
        <v>292</v>
      </c>
      <c r="D73" t="s">
        <v>293</v>
      </c>
      <c r="E73" t="s">
        <v>26</v>
      </c>
      <c r="F73" t="s">
        <v>86</v>
      </c>
      <c r="G73" t="s">
        <v>87</v>
      </c>
      <c r="H73" t="s">
        <v>29</v>
      </c>
      <c r="I73" t="s">
        <v>30</v>
      </c>
      <c r="J73" t="s">
        <v>182</v>
      </c>
      <c r="K73">
        <v>5</v>
      </c>
      <c r="L73" s="2">
        <v>212840.65</v>
      </c>
      <c r="M73">
        <v>0</v>
      </c>
      <c r="N73">
        <v>49906.43</v>
      </c>
    </row>
    <row r="74" spans="1:14" x14ac:dyDescent="0.35">
      <c r="A74" t="s">
        <v>294</v>
      </c>
      <c r="B74" s="1">
        <v>45684</v>
      </c>
      <c r="C74" t="s">
        <v>295</v>
      </c>
      <c r="D74" t="s">
        <v>296</v>
      </c>
      <c r="E74" t="s">
        <v>35</v>
      </c>
      <c r="F74" t="s">
        <v>70</v>
      </c>
      <c r="G74" t="s">
        <v>297</v>
      </c>
      <c r="H74" t="s">
        <v>20</v>
      </c>
      <c r="I74" t="s">
        <v>65</v>
      </c>
      <c r="J74" t="s">
        <v>142</v>
      </c>
      <c r="K74">
        <v>1</v>
      </c>
      <c r="L74" s="2">
        <v>23155.52</v>
      </c>
      <c r="M74">
        <v>0</v>
      </c>
      <c r="N74">
        <v>2439.0500000000002</v>
      </c>
    </row>
    <row r="75" spans="1:14" x14ac:dyDescent="0.35">
      <c r="A75" t="s">
        <v>298</v>
      </c>
      <c r="B75" s="1">
        <v>45684</v>
      </c>
      <c r="C75" t="s">
        <v>299</v>
      </c>
      <c r="D75" t="s">
        <v>190</v>
      </c>
      <c r="E75" t="s">
        <v>26</v>
      </c>
      <c r="F75" t="s">
        <v>27</v>
      </c>
      <c r="G75" t="s">
        <v>28</v>
      </c>
      <c r="H75" t="s">
        <v>29</v>
      </c>
      <c r="I75" t="s">
        <v>58</v>
      </c>
      <c r="J75" t="s">
        <v>300</v>
      </c>
      <c r="K75">
        <v>4</v>
      </c>
      <c r="L75" s="2">
        <v>6069.12</v>
      </c>
      <c r="M75">
        <v>0</v>
      </c>
      <c r="N75">
        <v>1244.03</v>
      </c>
    </row>
    <row r="76" spans="1:14" x14ac:dyDescent="0.35">
      <c r="A76" t="s">
        <v>301</v>
      </c>
      <c r="B76" s="1">
        <v>45684</v>
      </c>
      <c r="C76" t="s">
        <v>173</v>
      </c>
      <c r="D76" t="s">
        <v>168</v>
      </c>
      <c r="E76" t="s">
        <v>51</v>
      </c>
      <c r="F76" t="s">
        <v>99</v>
      </c>
      <c r="G76" t="s">
        <v>231</v>
      </c>
      <c r="H76" t="s">
        <v>20</v>
      </c>
      <c r="I76" t="s">
        <v>46</v>
      </c>
      <c r="J76" t="s">
        <v>203</v>
      </c>
      <c r="K76">
        <v>3</v>
      </c>
      <c r="L76" s="2">
        <v>14236.95</v>
      </c>
      <c r="M76">
        <v>0</v>
      </c>
      <c r="N76">
        <v>2168.5100000000002</v>
      </c>
    </row>
    <row r="77" spans="1:14" x14ac:dyDescent="0.35">
      <c r="A77" t="s">
        <v>302</v>
      </c>
      <c r="B77" s="1">
        <v>45685</v>
      </c>
      <c r="C77" t="s">
        <v>303</v>
      </c>
      <c r="D77" t="s">
        <v>304</v>
      </c>
      <c r="E77" t="s">
        <v>17</v>
      </c>
      <c r="F77" t="s">
        <v>210</v>
      </c>
      <c r="G77" t="s">
        <v>211</v>
      </c>
      <c r="H77" t="s">
        <v>29</v>
      </c>
      <c r="I77" t="s">
        <v>94</v>
      </c>
      <c r="J77" t="s">
        <v>95</v>
      </c>
      <c r="K77">
        <v>2</v>
      </c>
      <c r="L77" s="2">
        <v>107649.72</v>
      </c>
      <c r="M77">
        <v>0.15</v>
      </c>
      <c r="N77">
        <v>20115.740000000002</v>
      </c>
    </row>
    <row r="78" spans="1:14" x14ac:dyDescent="0.35">
      <c r="A78" t="s">
        <v>305</v>
      </c>
      <c r="B78" s="1">
        <v>45685</v>
      </c>
      <c r="C78" t="s">
        <v>306</v>
      </c>
      <c r="D78" t="s">
        <v>43</v>
      </c>
      <c r="E78" t="s">
        <v>26</v>
      </c>
      <c r="F78" t="s">
        <v>44</v>
      </c>
      <c r="G78" t="s">
        <v>45</v>
      </c>
      <c r="H78" t="s">
        <v>38</v>
      </c>
      <c r="I78" t="s">
        <v>78</v>
      </c>
      <c r="J78" t="s">
        <v>307</v>
      </c>
      <c r="K78">
        <v>7</v>
      </c>
      <c r="L78" s="2">
        <v>3678.97</v>
      </c>
      <c r="M78">
        <v>0</v>
      </c>
      <c r="N78">
        <v>564.58000000000004</v>
      </c>
    </row>
    <row r="79" spans="1:14" x14ac:dyDescent="0.35">
      <c r="A79" t="s">
        <v>308</v>
      </c>
      <c r="B79" s="1">
        <v>45685</v>
      </c>
      <c r="C79" t="s">
        <v>309</v>
      </c>
      <c r="D79" t="s">
        <v>263</v>
      </c>
      <c r="E79" t="s">
        <v>35</v>
      </c>
      <c r="F79" t="s">
        <v>70</v>
      </c>
      <c r="G79" t="s">
        <v>297</v>
      </c>
      <c r="H79" t="s">
        <v>38</v>
      </c>
      <c r="I79" t="s">
        <v>39</v>
      </c>
      <c r="J79" t="s">
        <v>258</v>
      </c>
      <c r="K79">
        <v>2</v>
      </c>
      <c r="L79" s="2">
        <v>1167.05</v>
      </c>
      <c r="M79">
        <v>0.1</v>
      </c>
      <c r="N79">
        <v>162.22</v>
      </c>
    </row>
    <row r="80" spans="1:14" x14ac:dyDescent="0.35">
      <c r="A80" t="s">
        <v>310</v>
      </c>
      <c r="B80" s="1">
        <v>45685</v>
      </c>
      <c r="C80" t="s">
        <v>311</v>
      </c>
      <c r="D80" t="s">
        <v>312</v>
      </c>
      <c r="E80" t="s">
        <v>35</v>
      </c>
      <c r="F80" t="s">
        <v>110</v>
      </c>
      <c r="G80" t="s">
        <v>111</v>
      </c>
      <c r="H80" t="s">
        <v>38</v>
      </c>
      <c r="I80" t="s">
        <v>39</v>
      </c>
      <c r="J80" t="s">
        <v>258</v>
      </c>
      <c r="K80">
        <v>2</v>
      </c>
      <c r="L80" s="2">
        <v>1100.6099999999999</v>
      </c>
      <c r="M80">
        <v>0.15</v>
      </c>
      <c r="N80">
        <v>220.26</v>
      </c>
    </row>
    <row r="81" spans="1:14" x14ac:dyDescent="0.35">
      <c r="A81" t="s">
        <v>313</v>
      </c>
      <c r="B81" s="1">
        <v>45685</v>
      </c>
      <c r="C81" t="s">
        <v>314</v>
      </c>
      <c r="D81" t="s">
        <v>315</v>
      </c>
      <c r="E81" t="s">
        <v>35</v>
      </c>
      <c r="F81" t="s">
        <v>36</v>
      </c>
      <c r="G81" t="s">
        <v>255</v>
      </c>
      <c r="H81" t="s">
        <v>29</v>
      </c>
      <c r="I81" t="s">
        <v>58</v>
      </c>
      <c r="J81" t="s">
        <v>59</v>
      </c>
      <c r="K81">
        <v>6</v>
      </c>
      <c r="L81" s="2">
        <v>5414.64</v>
      </c>
      <c r="M81">
        <v>0.05</v>
      </c>
      <c r="N81">
        <v>856.23</v>
      </c>
    </row>
    <row r="82" spans="1:14" x14ac:dyDescent="0.35">
      <c r="A82" t="s">
        <v>316</v>
      </c>
      <c r="B82" s="1">
        <v>45685</v>
      </c>
      <c r="C82" t="s">
        <v>317</v>
      </c>
      <c r="D82" t="s">
        <v>318</v>
      </c>
      <c r="E82" t="s">
        <v>51</v>
      </c>
      <c r="F82" t="s">
        <v>52</v>
      </c>
      <c r="G82" t="s">
        <v>53</v>
      </c>
      <c r="H82" t="s">
        <v>38</v>
      </c>
      <c r="I82" t="s">
        <v>39</v>
      </c>
      <c r="J82" t="s">
        <v>40</v>
      </c>
      <c r="K82">
        <v>4</v>
      </c>
      <c r="L82" s="2">
        <v>1986.9</v>
      </c>
      <c r="M82">
        <v>0</v>
      </c>
      <c r="N82">
        <v>362.35</v>
      </c>
    </row>
    <row r="83" spans="1:14" x14ac:dyDescent="0.35">
      <c r="A83" t="s">
        <v>319</v>
      </c>
      <c r="B83" s="1">
        <v>45686</v>
      </c>
      <c r="C83" t="s">
        <v>320</v>
      </c>
      <c r="D83" t="s">
        <v>91</v>
      </c>
      <c r="E83" t="s">
        <v>17</v>
      </c>
      <c r="F83" t="s">
        <v>18</v>
      </c>
      <c r="G83" t="s">
        <v>19</v>
      </c>
      <c r="H83" t="s">
        <v>38</v>
      </c>
      <c r="I83" t="s">
        <v>39</v>
      </c>
      <c r="J83" t="s">
        <v>40</v>
      </c>
      <c r="K83">
        <v>1</v>
      </c>
      <c r="L83" s="2">
        <v>439.38</v>
      </c>
      <c r="M83">
        <v>0.1</v>
      </c>
      <c r="N83">
        <v>51.12</v>
      </c>
    </row>
    <row r="84" spans="1:14" x14ac:dyDescent="0.35">
      <c r="A84" t="s">
        <v>321</v>
      </c>
      <c r="B84" s="1">
        <v>45686</v>
      </c>
      <c r="C84" t="s">
        <v>322</v>
      </c>
      <c r="D84" t="s">
        <v>323</v>
      </c>
      <c r="E84" t="s">
        <v>51</v>
      </c>
      <c r="F84" t="s">
        <v>63</v>
      </c>
      <c r="G84" t="s">
        <v>324</v>
      </c>
      <c r="H84" t="s">
        <v>38</v>
      </c>
      <c r="I84" t="s">
        <v>39</v>
      </c>
      <c r="J84" t="s">
        <v>40</v>
      </c>
      <c r="K84">
        <v>7</v>
      </c>
      <c r="L84" s="2">
        <v>2842.03</v>
      </c>
      <c r="M84">
        <v>0.2</v>
      </c>
      <c r="N84">
        <v>265.52999999999997</v>
      </c>
    </row>
    <row r="85" spans="1:14" x14ac:dyDescent="0.35">
      <c r="A85" t="s">
        <v>325</v>
      </c>
      <c r="B85" s="1">
        <v>45688</v>
      </c>
      <c r="C85" t="s">
        <v>326</v>
      </c>
      <c r="D85" t="s">
        <v>296</v>
      </c>
      <c r="E85" t="s">
        <v>51</v>
      </c>
      <c r="F85" t="s">
        <v>92</v>
      </c>
      <c r="G85" t="s">
        <v>178</v>
      </c>
      <c r="H85" t="s">
        <v>38</v>
      </c>
      <c r="I85" t="s">
        <v>218</v>
      </c>
      <c r="J85" t="s">
        <v>221</v>
      </c>
      <c r="K85">
        <v>4</v>
      </c>
      <c r="L85" s="2">
        <v>740.4</v>
      </c>
      <c r="M85">
        <v>0</v>
      </c>
      <c r="N85">
        <v>147.34</v>
      </c>
    </row>
    <row r="86" spans="1:14" x14ac:dyDescent="0.35">
      <c r="A86" t="s">
        <v>327</v>
      </c>
      <c r="B86" s="1">
        <v>45688</v>
      </c>
      <c r="C86" t="s">
        <v>328</v>
      </c>
      <c r="D86" t="s">
        <v>329</v>
      </c>
      <c r="E86" t="s">
        <v>35</v>
      </c>
      <c r="F86" t="s">
        <v>36</v>
      </c>
      <c r="G86" t="s">
        <v>37</v>
      </c>
      <c r="H86" t="s">
        <v>38</v>
      </c>
      <c r="I86" t="s">
        <v>78</v>
      </c>
      <c r="J86" t="s">
        <v>174</v>
      </c>
      <c r="K86">
        <v>6</v>
      </c>
      <c r="L86" s="2">
        <v>2006.18</v>
      </c>
      <c r="M86">
        <v>0.2</v>
      </c>
      <c r="N86">
        <v>283.29000000000002</v>
      </c>
    </row>
    <row r="87" spans="1:14" x14ac:dyDescent="0.35">
      <c r="A87" t="s">
        <v>330</v>
      </c>
      <c r="B87" s="1">
        <v>45688</v>
      </c>
      <c r="C87" t="s">
        <v>331</v>
      </c>
      <c r="D87" t="s">
        <v>224</v>
      </c>
      <c r="E87" t="s">
        <v>51</v>
      </c>
      <c r="F87" t="s">
        <v>63</v>
      </c>
      <c r="G87" t="s">
        <v>324</v>
      </c>
      <c r="H87" t="s">
        <v>20</v>
      </c>
      <c r="I87" t="s">
        <v>46</v>
      </c>
      <c r="J87" t="s">
        <v>47</v>
      </c>
      <c r="K87">
        <v>2</v>
      </c>
      <c r="L87" s="2">
        <v>12387.21</v>
      </c>
      <c r="M87">
        <v>0.15</v>
      </c>
      <c r="N87">
        <v>1449.46</v>
      </c>
    </row>
    <row r="88" spans="1:14" x14ac:dyDescent="0.35">
      <c r="A88" t="s">
        <v>332</v>
      </c>
      <c r="B88" s="1">
        <v>45689</v>
      </c>
      <c r="C88" t="s">
        <v>333</v>
      </c>
      <c r="D88" t="s">
        <v>85</v>
      </c>
      <c r="E88" t="s">
        <v>26</v>
      </c>
      <c r="F88" t="s">
        <v>44</v>
      </c>
      <c r="G88" t="s">
        <v>45</v>
      </c>
      <c r="H88" t="s">
        <v>38</v>
      </c>
      <c r="I88" t="s">
        <v>78</v>
      </c>
      <c r="J88" t="s">
        <v>79</v>
      </c>
      <c r="K88">
        <v>1</v>
      </c>
      <c r="L88" s="2">
        <v>327.95</v>
      </c>
      <c r="M88">
        <v>0.05</v>
      </c>
      <c r="N88">
        <v>60.9</v>
      </c>
    </row>
    <row r="89" spans="1:14" x14ac:dyDescent="0.35">
      <c r="A89" t="s">
        <v>334</v>
      </c>
      <c r="B89" s="1">
        <v>45691</v>
      </c>
      <c r="C89" t="s">
        <v>335</v>
      </c>
      <c r="D89" t="s">
        <v>336</v>
      </c>
      <c r="E89" t="s">
        <v>17</v>
      </c>
      <c r="F89" t="s">
        <v>210</v>
      </c>
      <c r="G89" t="s">
        <v>211</v>
      </c>
      <c r="H89" t="s">
        <v>29</v>
      </c>
      <c r="I89" t="s">
        <v>30</v>
      </c>
      <c r="J89" t="s">
        <v>112</v>
      </c>
      <c r="K89">
        <v>5</v>
      </c>
      <c r="L89" s="2">
        <v>120141.86</v>
      </c>
      <c r="M89">
        <v>0.1</v>
      </c>
      <c r="N89">
        <v>16420.39</v>
      </c>
    </row>
    <row r="90" spans="1:14" x14ac:dyDescent="0.35">
      <c r="A90" t="s">
        <v>337</v>
      </c>
      <c r="B90" s="1">
        <v>45691</v>
      </c>
      <c r="C90" t="s">
        <v>338</v>
      </c>
      <c r="D90" t="s">
        <v>339</v>
      </c>
      <c r="E90" t="s">
        <v>51</v>
      </c>
      <c r="F90" t="s">
        <v>104</v>
      </c>
      <c r="G90" t="s">
        <v>206</v>
      </c>
      <c r="H90" t="s">
        <v>20</v>
      </c>
      <c r="I90" t="s">
        <v>21</v>
      </c>
      <c r="J90" t="s">
        <v>72</v>
      </c>
      <c r="K90">
        <v>6</v>
      </c>
      <c r="L90" s="2">
        <v>13519.3</v>
      </c>
      <c r="M90">
        <v>0.2</v>
      </c>
      <c r="N90">
        <v>1673.32</v>
      </c>
    </row>
    <row r="91" spans="1:14" x14ac:dyDescent="0.35">
      <c r="A91" t="s">
        <v>340</v>
      </c>
      <c r="B91" s="1">
        <v>45691</v>
      </c>
      <c r="C91" t="s">
        <v>208</v>
      </c>
      <c r="D91" t="s">
        <v>341</v>
      </c>
      <c r="E91" t="s">
        <v>17</v>
      </c>
      <c r="F91" t="s">
        <v>76</v>
      </c>
      <c r="G91" t="s">
        <v>77</v>
      </c>
      <c r="H91" t="s">
        <v>20</v>
      </c>
      <c r="I91" t="s">
        <v>65</v>
      </c>
      <c r="J91" t="s">
        <v>142</v>
      </c>
      <c r="K91">
        <v>1</v>
      </c>
      <c r="L91" s="2">
        <v>19518.66</v>
      </c>
      <c r="M91">
        <v>0.05</v>
      </c>
      <c r="N91">
        <v>2862.98</v>
      </c>
    </row>
    <row r="92" spans="1:14" x14ac:dyDescent="0.35">
      <c r="A92" t="s">
        <v>342</v>
      </c>
      <c r="B92" s="1">
        <v>45692</v>
      </c>
      <c r="C92" t="s">
        <v>343</v>
      </c>
      <c r="D92" t="s">
        <v>43</v>
      </c>
      <c r="E92" t="s">
        <v>35</v>
      </c>
      <c r="F92" t="s">
        <v>110</v>
      </c>
      <c r="G92" t="s">
        <v>111</v>
      </c>
      <c r="H92" t="s">
        <v>29</v>
      </c>
      <c r="I92" t="s">
        <v>94</v>
      </c>
      <c r="J92" t="s">
        <v>138</v>
      </c>
      <c r="K92">
        <v>5</v>
      </c>
      <c r="L92" s="2">
        <v>197502.66</v>
      </c>
      <c r="M92">
        <v>0.15</v>
      </c>
      <c r="N92">
        <v>38937.14</v>
      </c>
    </row>
    <row r="93" spans="1:14" x14ac:dyDescent="0.35">
      <c r="A93" t="s">
        <v>344</v>
      </c>
      <c r="B93" s="1">
        <v>45692</v>
      </c>
      <c r="C93" t="s">
        <v>345</v>
      </c>
      <c r="D93" t="s">
        <v>346</v>
      </c>
      <c r="E93" t="s">
        <v>35</v>
      </c>
      <c r="F93" t="s">
        <v>70</v>
      </c>
      <c r="G93" t="s">
        <v>297</v>
      </c>
      <c r="H93" t="s">
        <v>38</v>
      </c>
      <c r="I93" t="s">
        <v>218</v>
      </c>
      <c r="J93" t="s">
        <v>225</v>
      </c>
      <c r="K93">
        <v>1</v>
      </c>
      <c r="L93" s="2">
        <v>235.86</v>
      </c>
      <c r="M93">
        <v>0.1</v>
      </c>
      <c r="N93">
        <v>28.18</v>
      </c>
    </row>
    <row r="94" spans="1:14" x14ac:dyDescent="0.35">
      <c r="A94" t="s">
        <v>347</v>
      </c>
      <c r="B94" s="1">
        <v>45692</v>
      </c>
      <c r="C94" t="s">
        <v>119</v>
      </c>
      <c r="D94" t="s">
        <v>209</v>
      </c>
      <c r="E94" t="s">
        <v>17</v>
      </c>
      <c r="F94" t="s">
        <v>210</v>
      </c>
      <c r="G94" t="s">
        <v>211</v>
      </c>
      <c r="H94" t="s">
        <v>20</v>
      </c>
      <c r="I94" t="s">
        <v>21</v>
      </c>
      <c r="J94" t="s">
        <v>72</v>
      </c>
      <c r="K94">
        <v>2</v>
      </c>
      <c r="L94" s="2">
        <v>5280.46</v>
      </c>
      <c r="M94">
        <v>0.1</v>
      </c>
      <c r="N94">
        <v>330.39</v>
      </c>
    </row>
    <row r="95" spans="1:14" x14ac:dyDescent="0.35">
      <c r="A95" t="s">
        <v>348</v>
      </c>
      <c r="B95" s="1">
        <v>45692</v>
      </c>
      <c r="C95" t="s">
        <v>68</v>
      </c>
      <c r="D95" t="s">
        <v>349</v>
      </c>
      <c r="E95" t="s">
        <v>17</v>
      </c>
      <c r="F95" t="s">
        <v>76</v>
      </c>
      <c r="G95" t="s">
        <v>77</v>
      </c>
      <c r="H95" t="s">
        <v>38</v>
      </c>
      <c r="I95" t="s">
        <v>78</v>
      </c>
      <c r="J95" t="s">
        <v>174</v>
      </c>
      <c r="K95">
        <v>3</v>
      </c>
      <c r="L95" s="2">
        <v>1200.57</v>
      </c>
      <c r="M95">
        <v>0.05</v>
      </c>
      <c r="N95">
        <v>212.93</v>
      </c>
    </row>
    <row r="96" spans="1:14" x14ac:dyDescent="0.35">
      <c r="A96" t="s">
        <v>350</v>
      </c>
      <c r="B96" s="1">
        <v>45693</v>
      </c>
      <c r="C96" t="s">
        <v>351</v>
      </c>
      <c r="D96" t="s">
        <v>352</v>
      </c>
      <c r="E96" t="s">
        <v>26</v>
      </c>
      <c r="F96" t="s">
        <v>121</v>
      </c>
      <c r="G96" t="s">
        <v>214</v>
      </c>
      <c r="H96" t="s">
        <v>29</v>
      </c>
      <c r="I96" t="s">
        <v>94</v>
      </c>
      <c r="J96" t="s">
        <v>95</v>
      </c>
      <c r="K96">
        <v>2</v>
      </c>
      <c r="L96" s="2">
        <v>97717.41</v>
      </c>
      <c r="M96">
        <v>0.2</v>
      </c>
      <c r="N96">
        <v>4474.54</v>
      </c>
    </row>
    <row r="97" spans="1:14" x14ac:dyDescent="0.35">
      <c r="A97" t="s">
        <v>353</v>
      </c>
      <c r="B97" s="1">
        <v>45693</v>
      </c>
      <c r="C97" t="s">
        <v>33</v>
      </c>
      <c r="D97" t="s">
        <v>148</v>
      </c>
      <c r="E97" t="s">
        <v>35</v>
      </c>
      <c r="F97" t="s">
        <v>128</v>
      </c>
      <c r="G97" t="s">
        <v>354</v>
      </c>
      <c r="H97" t="s">
        <v>29</v>
      </c>
      <c r="I97" t="s">
        <v>30</v>
      </c>
      <c r="J97" t="s">
        <v>182</v>
      </c>
      <c r="K97">
        <v>2</v>
      </c>
      <c r="L97" s="2">
        <v>64731.839999999997</v>
      </c>
      <c r="M97">
        <v>0.2</v>
      </c>
      <c r="N97">
        <v>5959.47</v>
      </c>
    </row>
    <row r="98" spans="1:14" x14ac:dyDescent="0.35">
      <c r="A98" t="s">
        <v>355</v>
      </c>
      <c r="B98" s="1">
        <v>45693</v>
      </c>
      <c r="C98" t="s">
        <v>356</v>
      </c>
      <c r="D98" t="s">
        <v>357</v>
      </c>
      <c r="E98" t="s">
        <v>35</v>
      </c>
      <c r="F98" t="s">
        <v>110</v>
      </c>
      <c r="G98" t="s">
        <v>111</v>
      </c>
      <c r="H98" t="s">
        <v>38</v>
      </c>
      <c r="I98" t="s">
        <v>78</v>
      </c>
      <c r="J98" t="s">
        <v>79</v>
      </c>
      <c r="K98">
        <v>1</v>
      </c>
      <c r="L98" s="2">
        <v>318.83</v>
      </c>
      <c r="M98">
        <v>0.1</v>
      </c>
      <c r="N98">
        <v>54.74</v>
      </c>
    </row>
    <row r="99" spans="1:14" x14ac:dyDescent="0.35">
      <c r="A99" t="s">
        <v>358</v>
      </c>
      <c r="B99" s="1">
        <v>45693</v>
      </c>
      <c r="C99" t="s">
        <v>68</v>
      </c>
      <c r="D99" t="s">
        <v>359</v>
      </c>
      <c r="E99" t="s">
        <v>17</v>
      </c>
      <c r="F99" t="s">
        <v>76</v>
      </c>
      <c r="G99" t="s">
        <v>77</v>
      </c>
      <c r="H99" t="s">
        <v>20</v>
      </c>
      <c r="I99" t="s">
        <v>46</v>
      </c>
      <c r="J99" t="s">
        <v>47</v>
      </c>
      <c r="K99">
        <v>3</v>
      </c>
      <c r="L99" s="2">
        <v>18421.34</v>
      </c>
      <c r="M99">
        <v>0.1</v>
      </c>
      <c r="N99">
        <v>3003.89</v>
      </c>
    </row>
    <row r="100" spans="1:14" x14ac:dyDescent="0.35">
      <c r="A100" t="s">
        <v>360</v>
      </c>
      <c r="B100" s="1">
        <v>45694</v>
      </c>
      <c r="C100" t="s">
        <v>74</v>
      </c>
      <c r="D100" t="s">
        <v>361</v>
      </c>
      <c r="E100" t="s">
        <v>35</v>
      </c>
      <c r="F100" t="s">
        <v>110</v>
      </c>
      <c r="G100" t="s">
        <v>111</v>
      </c>
      <c r="H100" t="s">
        <v>38</v>
      </c>
      <c r="I100" t="s">
        <v>78</v>
      </c>
      <c r="J100" t="s">
        <v>174</v>
      </c>
      <c r="K100">
        <v>1</v>
      </c>
      <c r="L100" s="2">
        <v>452.48</v>
      </c>
      <c r="M100">
        <v>0.05</v>
      </c>
      <c r="N100">
        <v>97.17</v>
      </c>
    </row>
    <row r="101" spans="1:14" x14ac:dyDescent="0.35">
      <c r="A101" t="s">
        <v>362</v>
      </c>
      <c r="B101" s="1">
        <v>45695</v>
      </c>
      <c r="C101" t="s">
        <v>363</v>
      </c>
      <c r="D101" t="s">
        <v>171</v>
      </c>
      <c r="E101" t="s">
        <v>35</v>
      </c>
      <c r="F101" t="s">
        <v>36</v>
      </c>
      <c r="G101" t="s">
        <v>255</v>
      </c>
      <c r="H101" t="s">
        <v>20</v>
      </c>
      <c r="I101" t="s">
        <v>21</v>
      </c>
      <c r="J101" t="s">
        <v>72</v>
      </c>
      <c r="K101">
        <v>2</v>
      </c>
      <c r="L101" s="2">
        <v>5383.67</v>
      </c>
      <c r="M101">
        <v>0.15</v>
      </c>
      <c r="N101">
        <v>909.21</v>
      </c>
    </row>
    <row r="102" spans="1:14" x14ac:dyDescent="0.35">
      <c r="A102" t="s">
        <v>364</v>
      </c>
      <c r="B102" s="1">
        <v>45695</v>
      </c>
      <c r="C102" t="s">
        <v>365</v>
      </c>
      <c r="D102" t="s">
        <v>366</v>
      </c>
      <c r="E102" t="s">
        <v>51</v>
      </c>
      <c r="F102" t="s">
        <v>63</v>
      </c>
      <c r="G102" t="s">
        <v>64</v>
      </c>
      <c r="H102" t="s">
        <v>38</v>
      </c>
      <c r="I102" t="s">
        <v>39</v>
      </c>
      <c r="J102" t="s">
        <v>134</v>
      </c>
      <c r="K102">
        <v>7</v>
      </c>
      <c r="L102" s="2">
        <v>4767.7</v>
      </c>
      <c r="M102">
        <v>0.05</v>
      </c>
      <c r="N102">
        <v>637.88</v>
      </c>
    </row>
    <row r="103" spans="1:14" x14ac:dyDescent="0.35">
      <c r="A103" t="s">
        <v>367</v>
      </c>
      <c r="B103" s="1">
        <v>45695</v>
      </c>
      <c r="C103" t="s">
        <v>286</v>
      </c>
      <c r="D103" t="s">
        <v>368</v>
      </c>
      <c r="E103" t="s">
        <v>51</v>
      </c>
      <c r="F103" t="s">
        <v>63</v>
      </c>
      <c r="G103" t="s">
        <v>64</v>
      </c>
      <c r="H103" t="s">
        <v>29</v>
      </c>
      <c r="I103" t="s">
        <v>30</v>
      </c>
      <c r="J103" t="s">
        <v>112</v>
      </c>
      <c r="K103">
        <v>5</v>
      </c>
      <c r="L103" s="2">
        <v>145787.82</v>
      </c>
      <c r="M103">
        <v>0</v>
      </c>
      <c r="N103">
        <v>24650.17</v>
      </c>
    </row>
    <row r="104" spans="1:14" x14ac:dyDescent="0.35">
      <c r="A104" t="s">
        <v>369</v>
      </c>
      <c r="B104" s="1">
        <v>45695</v>
      </c>
      <c r="C104" t="s">
        <v>370</v>
      </c>
      <c r="D104" t="s">
        <v>371</v>
      </c>
      <c r="E104" t="s">
        <v>17</v>
      </c>
      <c r="F104" t="s">
        <v>76</v>
      </c>
      <c r="G104" t="s">
        <v>77</v>
      </c>
      <c r="H104" t="s">
        <v>20</v>
      </c>
      <c r="I104" t="s">
        <v>65</v>
      </c>
      <c r="J104" t="s">
        <v>142</v>
      </c>
      <c r="K104">
        <v>2</v>
      </c>
      <c r="L104" s="2">
        <v>36521.21</v>
      </c>
      <c r="M104">
        <v>0.1</v>
      </c>
      <c r="N104">
        <v>1506.59</v>
      </c>
    </row>
    <row r="105" spans="1:14" x14ac:dyDescent="0.35">
      <c r="A105" t="s">
        <v>372</v>
      </c>
      <c r="B105" s="1">
        <v>45696</v>
      </c>
      <c r="C105" t="s">
        <v>74</v>
      </c>
      <c r="D105" t="s">
        <v>56</v>
      </c>
      <c r="E105" t="s">
        <v>17</v>
      </c>
      <c r="F105" t="s">
        <v>210</v>
      </c>
      <c r="G105" t="s">
        <v>211</v>
      </c>
      <c r="H105" t="s">
        <v>29</v>
      </c>
      <c r="I105" t="s">
        <v>58</v>
      </c>
      <c r="J105" t="s">
        <v>59</v>
      </c>
      <c r="K105">
        <v>3</v>
      </c>
      <c r="L105" s="2">
        <v>2261.33</v>
      </c>
      <c r="M105">
        <v>0.15</v>
      </c>
      <c r="N105">
        <v>376.88</v>
      </c>
    </row>
    <row r="106" spans="1:14" x14ac:dyDescent="0.35">
      <c r="A106" t="s">
        <v>373</v>
      </c>
      <c r="B106" s="1">
        <v>45696</v>
      </c>
      <c r="C106" t="s">
        <v>374</v>
      </c>
      <c r="D106" t="s">
        <v>375</v>
      </c>
      <c r="E106" t="s">
        <v>26</v>
      </c>
      <c r="F106" t="s">
        <v>86</v>
      </c>
      <c r="G106" t="s">
        <v>87</v>
      </c>
      <c r="H106" t="s">
        <v>29</v>
      </c>
      <c r="I106" t="s">
        <v>94</v>
      </c>
      <c r="J106" t="s">
        <v>106</v>
      </c>
      <c r="K106">
        <v>2</v>
      </c>
      <c r="L106" s="2">
        <v>146769.12</v>
      </c>
      <c r="M106">
        <v>0.05</v>
      </c>
      <c r="N106">
        <v>19128.650000000001</v>
      </c>
    </row>
    <row r="107" spans="1:14" x14ac:dyDescent="0.35">
      <c r="A107" t="s">
        <v>376</v>
      </c>
      <c r="B107" s="1">
        <v>45696</v>
      </c>
      <c r="C107" t="s">
        <v>317</v>
      </c>
      <c r="D107" t="s">
        <v>377</v>
      </c>
      <c r="E107" t="s">
        <v>26</v>
      </c>
      <c r="F107" t="s">
        <v>121</v>
      </c>
      <c r="G107" t="s">
        <v>122</v>
      </c>
      <c r="H107" t="s">
        <v>29</v>
      </c>
      <c r="I107" t="s">
        <v>58</v>
      </c>
      <c r="J107" t="s">
        <v>300</v>
      </c>
      <c r="K107">
        <v>1</v>
      </c>
      <c r="L107" s="2">
        <v>1374.83</v>
      </c>
      <c r="M107">
        <v>0.15</v>
      </c>
      <c r="N107">
        <v>209.32</v>
      </c>
    </row>
    <row r="108" spans="1:14" x14ac:dyDescent="0.35">
      <c r="A108" t="s">
        <v>378</v>
      </c>
      <c r="B108" s="1">
        <v>45696</v>
      </c>
      <c r="C108" t="s">
        <v>379</v>
      </c>
      <c r="D108" t="s">
        <v>380</v>
      </c>
      <c r="E108" t="s">
        <v>17</v>
      </c>
      <c r="F108" t="s">
        <v>18</v>
      </c>
      <c r="G108" t="s">
        <v>19</v>
      </c>
      <c r="H108" t="s">
        <v>38</v>
      </c>
      <c r="I108" t="s">
        <v>39</v>
      </c>
      <c r="J108" t="s">
        <v>134</v>
      </c>
      <c r="K108">
        <v>7</v>
      </c>
      <c r="L108" s="2">
        <v>5518.76</v>
      </c>
      <c r="M108">
        <v>0</v>
      </c>
      <c r="N108">
        <v>558.24</v>
      </c>
    </row>
    <row r="109" spans="1:14" x14ac:dyDescent="0.35">
      <c r="A109" t="s">
        <v>381</v>
      </c>
      <c r="B109" s="1">
        <v>45697</v>
      </c>
      <c r="C109" t="s">
        <v>382</v>
      </c>
      <c r="D109" t="s">
        <v>383</v>
      </c>
      <c r="E109" t="s">
        <v>51</v>
      </c>
      <c r="F109" t="s">
        <v>63</v>
      </c>
      <c r="G109" t="s">
        <v>64</v>
      </c>
      <c r="H109" t="s">
        <v>20</v>
      </c>
      <c r="I109" t="s">
        <v>21</v>
      </c>
      <c r="J109" t="s">
        <v>72</v>
      </c>
      <c r="K109">
        <v>2</v>
      </c>
      <c r="L109" s="2">
        <v>5405.8</v>
      </c>
      <c r="M109">
        <v>0.05</v>
      </c>
      <c r="N109">
        <v>376.97</v>
      </c>
    </row>
    <row r="110" spans="1:14" x14ac:dyDescent="0.35">
      <c r="A110" t="s">
        <v>384</v>
      </c>
      <c r="B110" s="1">
        <v>45697</v>
      </c>
      <c r="C110" t="s">
        <v>385</v>
      </c>
      <c r="D110" t="s">
        <v>341</v>
      </c>
      <c r="E110" t="s">
        <v>51</v>
      </c>
      <c r="F110" t="s">
        <v>52</v>
      </c>
      <c r="G110" t="s">
        <v>57</v>
      </c>
      <c r="H110" t="s">
        <v>20</v>
      </c>
      <c r="I110" t="s">
        <v>46</v>
      </c>
      <c r="J110" t="s">
        <v>130</v>
      </c>
      <c r="K110">
        <v>6</v>
      </c>
      <c r="L110" s="2">
        <v>46703.77</v>
      </c>
      <c r="M110">
        <v>0.1</v>
      </c>
      <c r="N110">
        <v>7278.29</v>
      </c>
    </row>
    <row r="111" spans="1:14" x14ac:dyDescent="0.35">
      <c r="A111" t="s">
        <v>386</v>
      </c>
      <c r="B111" s="1">
        <v>45697</v>
      </c>
      <c r="C111" t="s">
        <v>387</v>
      </c>
      <c r="D111" t="s">
        <v>109</v>
      </c>
      <c r="E111" t="s">
        <v>26</v>
      </c>
      <c r="F111" t="s">
        <v>86</v>
      </c>
      <c r="G111" t="s">
        <v>87</v>
      </c>
      <c r="H111" t="s">
        <v>29</v>
      </c>
      <c r="I111" t="s">
        <v>94</v>
      </c>
      <c r="J111" t="s">
        <v>95</v>
      </c>
      <c r="K111">
        <v>6</v>
      </c>
      <c r="L111" s="2">
        <v>372639.2</v>
      </c>
      <c r="M111">
        <v>0</v>
      </c>
      <c r="N111">
        <v>52878.54</v>
      </c>
    </row>
    <row r="112" spans="1:14" x14ac:dyDescent="0.35">
      <c r="A112" t="s">
        <v>388</v>
      </c>
      <c r="B112" s="1">
        <v>45698</v>
      </c>
      <c r="C112" t="s">
        <v>389</v>
      </c>
      <c r="D112" t="s">
        <v>69</v>
      </c>
      <c r="E112" t="s">
        <v>51</v>
      </c>
      <c r="F112" t="s">
        <v>99</v>
      </c>
      <c r="G112" t="s">
        <v>231</v>
      </c>
      <c r="H112" t="s">
        <v>20</v>
      </c>
      <c r="I112" t="s">
        <v>21</v>
      </c>
      <c r="J112" t="s">
        <v>197</v>
      </c>
      <c r="K112">
        <v>3</v>
      </c>
      <c r="L112" s="2">
        <v>34423.78</v>
      </c>
      <c r="M112">
        <v>0</v>
      </c>
      <c r="N112">
        <v>6590.24</v>
      </c>
    </row>
    <row r="113" spans="1:14" x14ac:dyDescent="0.35">
      <c r="A113" t="s">
        <v>390</v>
      </c>
      <c r="B113" s="1">
        <v>45698</v>
      </c>
      <c r="C113" t="s">
        <v>365</v>
      </c>
      <c r="D113" t="s">
        <v>391</v>
      </c>
      <c r="E113" t="s">
        <v>51</v>
      </c>
      <c r="F113" t="s">
        <v>52</v>
      </c>
      <c r="G113" t="s">
        <v>57</v>
      </c>
      <c r="H113" t="s">
        <v>38</v>
      </c>
      <c r="I113" t="s">
        <v>218</v>
      </c>
      <c r="J113" t="s">
        <v>219</v>
      </c>
      <c r="K113">
        <v>3</v>
      </c>
      <c r="L113" s="2">
        <v>1027</v>
      </c>
      <c r="M113">
        <v>0</v>
      </c>
      <c r="N113">
        <v>71.23</v>
      </c>
    </row>
    <row r="114" spans="1:14" x14ac:dyDescent="0.35">
      <c r="A114" t="s">
        <v>392</v>
      </c>
      <c r="B114" s="1">
        <v>45699</v>
      </c>
      <c r="C114" t="s">
        <v>393</v>
      </c>
      <c r="D114" t="s">
        <v>394</v>
      </c>
      <c r="E114" t="s">
        <v>17</v>
      </c>
      <c r="F114" t="s">
        <v>185</v>
      </c>
      <c r="G114" t="s">
        <v>186</v>
      </c>
      <c r="H114" t="s">
        <v>20</v>
      </c>
      <c r="I114" t="s">
        <v>65</v>
      </c>
      <c r="J114" t="s">
        <v>66</v>
      </c>
      <c r="K114">
        <v>5</v>
      </c>
      <c r="L114" s="2">
        <v>40188.019999999997</v>
      </c>
      <c r="M114">
        <v>0.1</v>
      </c>
      <c r="N114">
        <v>7296.82</v>
      </c>
    </row>
    <row r="115" spans="1:14" x14ac:dyDescent="0.35">
      <c r="A115" t="s">
        <v>395</v>
      </c>
      <c r="B115" s="1">
        <v>45699</v>
      </c>
      <c r="C115" t="s">
        <v>167</v>
      </c>
      <c r="D115" t="s">
        <v>396</v>
      </c>
      <c r="E115" t="s">
        <v>51</v>
      </c>
      <c r="F115" t="s">
        <v>92</v>
      </c>
      <c r="G115" t="s">
        <v>178</v>
      </c>
      <c r="H115" t="s">
        <v>20</v>
      </c>
      <c r="I115" t="s">
        <v>46</v>
      </c>
      <c r="J115" t="s">
        <v>203</v>
      </c>
      <c r="K115">
        <v>6</v>
      </c>
      <c r="L115" s="2">
        <v>30214.13</v>
      </c>
      <c r="M115">
        <v>0.05</v>
      </c>
      <c r="N115">
        <v>6434.21</v>
      </c>
    </row>
    <row r="116" spans="1:14" x14ac:dyDescent="0.35">
      <c r="A116" t="s">
        <v>397</v>
      </c>
      <c r="B116" s="1">
        <v>45699</v>
      </c>
      <c r="C116" t="s">
        <v>278</v>
      </c>
      <c r="D116" t="s">
        <v>161</v>
      </c>
      <c r="E116" t="s">
        <v>51</v>
      </c>
      <c r="F116" t="s">
        <v>52</v>
      </c>
      <c r="G116" t="s">
        <v>53</v>
      </c>
      <c r="H116" t="s">
        <v>29</v>
      </c>
      <c r="I116" t="s">
        <v>94</v>
      </c>
      <c r="J116" t="s">
        <v>106</v>
      </c>
      <c r="K116">
        <v>1</v>
      </c>
      <c r="L116" s="2">
        <v>74238.64</v>
      </c>
      <c r="M116">
        <v>0.1</v>
      </c>
      <c r="N116">
        <v>8213.09</v>
      </c>
    </row>
    <row r="117" spans="1:14" x14ac:dyDescent="0.35">
      <c r="A117" t="s">
        <v>398</v>
      </c>
      <c r="B117" s="1">
        <v>45699</v>
      </c>
      <c r="C117" t="s">
        <v>399</v>
      </c>
      <c r="D117" t="s">
        <v>400</v>
      </c>
      <c r="E117" t="s">
        <v>26</v>
      </c>
      <c r="F117" t="s">
        <v>121</v>
      </c>
      <c r="G117" t="s">
        <v>122</v>
      </c>
      <c r="H117" t="s">
        <v>29</v>
      </c>
      <c r="I117" t="s">
        <v>30</v>
      </c>
      <c r="J117" t="s">
        <v>182</v>
      </c>
      <c r="K117">
        <v>3</v>
      </c>
      <c r="L117" s="2">
        <v>131849.04999999999</v>
      </c>
      <c r="M117">
        <v>0</v>
      </c>
      <c r="N117">
        <v>13079.5</v>
      </c>
    </row>
    <row r="118" spans="1:14" x14ac:dyDescent="0.35">
      <c r="A118" t="s">
        <v>401</v>
      </c>
      <c r="B118" s="1">
        <v>45699</v>
      </c>
      <c r="C118" t="s">
        <v>402</v>
      </c>
      <c r="D118" t="s">
        <v>403</v>
      </c>
      <c r="E118" t="s">
        <v>51</v>
      </c>
      <c r="F118" t="s">
        <v>52</v>
      </c>
      <c r="G118" t="s">
        <v>57</v>
      </c>
      <c r="H118" t="s">
        <v>38</v>
      </c>
      <c r="I118" t="s">
        <v>78</v>
      </c>
      <c r="J118" t="s">
        <v>307</v>
      </c>
      <c r="K118">
        <v>4</v>
      </c>
      <c r="L118" s="2">
        <v>1911.76</v>
      </c>
      <c r="M118">
        <v>0.1</v>
      </c>
      <c r="N118">
        <v>254.45</v>
      </c>
    </row>
    <row r="119" spans="1:14" x14ac:dyDescent="0.35">
      <c r="A119" t="s">
        <v>404</v>
      </c>
      <c r="B119" s="1">
        <v>45699</v>
      </c>
      <c r="C119" t="s">
        <v>405</v>
      </c>
      <c r="D119" t="s">
        <v>196</v>
      </c>
      <c r="E119" t="s">
        <v>35</v>
      </c>
      <c r="F119" t="s">
        <v>70</v>
      </c>
      <c r="G119" t="s">
        <v>297</v>
      </c>
      <c r="H119" t="s">
        <v>38</v>
      </c>
      <c r="I119" t="s">
        <v>78</v>
      </c>
      <c r="J119" t="s">
        <v>79</v>
      </c>
      <c r="K119">
        <v>7</v>
      </c>
      <c r="L119" s="2">
        <v>2015.39</v>
      </c>
      <c r="M119">
        <v>0.2</v>
      </c>
      <c r="N119">
        <v>172.14</v>
      </c>
    </row>
    <row r="120" spans="1:14" x14ac:dyDescent="0.35">
      <c r="A120" t="s">
        <v>406</v>
      </c>
      <c r="B120" s="1">
        <v>45700</v>
      </c>
      <c r="C120" t="s">
        <v>363</v>
      </c>
      <c r="D120" t="s">
        <v>339</v>
      </c>
      <c r="E120" t="s">
        <v>51</v>
      </c>
      <c r="F120" t="s">
        <v>63</v>
      </c>
      <c r="G120" t="s">
        <v>64</v>
      </c>
      <c r="H120" t="s">
        <v>20</v>
      </c>
      <c r="I120" t="s">
        <v>46</v>
      </c>
      <c r="J120" t="s">
        <v>47</v>
      </c>
      <c r="K120">
        <v>7</v>
      </c>
      <c r="L120" s="2">
        <v>47406.71</v>
      </c>
      <c r="M120">
        <v>0.1</v>
      </c>
      <c r="N120">
        <v>2706.14</v>
      </c>
    </row>
    <row r="121" spans="1:14" x14ac:dyDescent="0.35">
      <c r="A121" t="s">
        <v>407</v>
      </c>
      <c r="B121" s="1">
        <v>45701</v>
      </c>
      <c r="C121" t="s">
        <v>173</v>
      </c>
      <c r="D121" t="s">
        <v>339</v>
      </c>
      <c r="E121" t="s">
        <v>51</v>
      </c>
      <c r="F121" t="s">
        <v>104</v>
      </c>
      <c r="G121" t="s">
        <v>105</v>
      </c>
      <c r="H121" t="s">
        <v>20</v>
      </c>
      <c r="I121" t="s">
        <v>65</v>
      </c>
      <c r="J121" t="s">
        <v>66</v>
      </c>
      <c r="K121">
        <v>5</v>
      </c>
      <c r="L121" s="2">
        <v>45120.480000000003</v>
      </c>
      <c r="M121">
        <v>0.1</v>
      </c>
      <c r="N121">
        <v>2323.52</v>
      </c>
    </row>
    <row r="122" spans="1:14" x14ac:dyDescent="0.35">
      <c r="A122" t="s">
        <v>408</v>
      </c>
      <c r="B122" s="1">
        <v>45701</v>
      </c>
      <c r="C122" t="s">
        <v>409</v>
      </c>
      <c r="D122" t="s">
        <v>230</v>
      </c>
      <c r="E122" t="s">
        <v>17</v>
      </c>
      <c r="F122" t="s">
        <v>210</v>
      </c>
      <c r="G122" t="s">
        <v>211</v>
      </c>
      <c r="H122" t="s">
        <v>29</v>
      </c>
      <c r="I122" t="s">
        <v>30</v>
      </c>
      <c r="J122" t="s">
        <v>31</v>
      </c>
      <c r="K122">
        <v>2</v>
      </c>
      <c r="L122" s="2">
        <v>30708.43</v>
      </c>
      <c r="M122">
        <v>0.2</v>
      </c>
      <c r="N122">
        <v>3634.52</v>
      </c>
    </row>
    <row r="123" spans="1:14" x14ac:dyDescent="0.35">
      <c r="A123" t="s">
        <v>410</v>
      </c>
      <c r="B123" s="1">
        <v>45702</v>
      </c>
      <c r="C123" t="s">
        <v>411</v>
      </c>
      <c r="D123" t="s">
        <v>412</v>
      </c>
      <c r="E123" t="s">
        <v>26</v>
      </c>
      <c r="F123" t="s">
        <v>44</v>
      </c>
      <c r="G123" t="s">
        <v>45</v>
      </c>
      <c r="H123" t="s">
        <v>38</v>
      </c>
      <c r="I123" t="s">
        <v>39</v>
      </c>
      <c r="J123" t="s">
        <v>134</v>
      </c>
      <c r="K123">
        <v>6</v>
      </c>
      <c r="L123" s="2">
        <v>4595.57</v>
      </c>
      <c r="M123">
        <v>0.05</v>
      </c>
      <c r="N123">
        <v>446.79</v>
      </c>
    </row>
    <row r="124" spans="1:14" x14ac:dyDescent="0.35">
      <c r="A124" t="s">
        <v>413</v>
      </c>
      <c r="B124" s="1">
        <v>45702</v>
      </c>
      <c r="C124" t="s">
        <v>414</v>
      </c>
      <c r="D124" t="s">
        <v>109</v>
      </c>
      <c r="E124" t="s">
        <v>51</v>
      </c>
      <c r="F124" t="s">
        <v>99</v>
      </c>
      <c r="G124" t="s">
        <v>100</v>
      </c>
      <c r="H124" t="s">
        <v>29</v>
      </c>
      <c r="I124" t="s">
        <v>94</v>
      </c>
      <c r="J124" t="s">
        <v>138</v>
      </c>
      <c r="K124">
        <v>2</v>
      </c>
      <c r="L124" s="2">
        <v>82152.570000000007</v>
      </c>
      <c r="M124">
        <v>0.1</v>
      </c>
      <c r="N124">
        <v>14401.49</v>
      </c>
    </row>
    <row r="125" spans="1:14" x14ac:dyDescent="0.35">
      <c r="A125" t="s">
        <v>415</v>
      </c>
      <c r="B125" s="1">
        <v>45702</v>
      </c>
      <c r="C125" t="s">
        <v>416</v>
      </c>
      <c r="D125" t="s">
        <v>417</v>
      </c>
      <c r="E125" t="s">
        <v>35</v>
      </c>
      <c r="F125" t="s">
        <v>110</v>
      </c>
      <c r="G125" t="s">
        <v>111</v>
      </c>
      <c r="H125" t="s">
        <v>29</v>
      </c>
      <c r="I125" t="s">
        <v>30</v>
      </c>
      <c r="J125" t="s">
        <v>31</v>
      </c>
      <c r="K125">
        <v>1</v>
      </c>
      <c r="L125" s="2">
        <v>17147.61</v>
      </c>
      <c r="M125">
        <v>0.05</v>
      </c>
      <c r="N125">
        <v>903.56</v>
      </c>
    </row>
    <row r="126" spans="1:14" x14ac:dyDescent="0.35">
      <c r="A126" t="s">
        <v>418</v>
      </c>
      <c r="B126" s="1">
        <v>45702</v>
      </c>
      <c r="C126" t="s">
        <v>419</v>
      </c>
      <c r="D126" t="s">
        <v>420</v>
      </c>
      <c r="E126" t="s">
        <v>17</v>
      </c>
      <c r="F126" t="s">
        <v>210</v>
      </c>
      <c r="G126" t="s">
        <v>211</v>
      </c>
      <c r="H126" t="s">
        <v>20</v>
      </c>
      <c r="I126" t="s">
        <v>21</v>
      </c>
      <c r="J126" t="s">
        <v>197</v>
      </c>
      <c r="K126">
        <v>2</v>
      </c>
      <c r="L126" s="2">
        <v>22996.92</v>
      </c>
      <c r="M126">
        <v>0.05</v>
      </c>
      <c r="N126">
        <v>2383.21</v>
      </c>
    </row>
    <row r="127" spans="1:14" x14ac:dyDescent="0.35">
      <c r="A127" t="s">
        <v>421</v>
      </c>
      <c r="B127" s="1">
        <v>45703</v>
      </c>
      <c r="C127" t="s">
        <v>289</v>
      </c>
      <c r="D127" t="s">
        <v>422</v>
      </c>
      <c r="E127" t="s">
        <v>17</v>
      </c>
      <c r="F127" t="s">
        <v>76</v>
      </c>
      <c r="G127" t="s">
        <v>77</v>
      </c>
      <c r="H127" t="s">
        <v>29</v>
      </c>
      <c r="I127" t="s">
        <v>30</v>
      </c>
      <c r="J127" t="s">
        <v>31</v>
      </c>
      <c r="K127">
        <v>6</v>
      </c>
      <c r="L127" s="2">
        <v>96758.66</v>
      </c>
      <c r="M127">
        <v>0.05</v>
      </c>
      <c r="N127">
        <v>20865.91</v>
      </c>
    </row>
    <row r="128" spans="1:14" x14ac:dyDescent="0.35">
      <c r="A128" t="s">
        <v>423</v>
      </c>
      <c r="B128" s="1">
        <v>45704</v>
      </c>
      <c r="C128" t="s">
        <v>247</v>
      </c>
      <c r="D128" t="s">
        <v>424</v>
      </c>
      <c r="E128" t="s">
        <v>35</v>
      </c>
      <c r="F128" t="s">
        <v>70</v>
      </c>
      <c r="G128" t="s">
        <v>71</v>
      </c>
      <c r="H128" t="s">
        <v>29</v>
      </c>
      <c r="I128" t="s">
        <v>58</v>
      </c>
      <c r="J128" t="s">
        <v>88</v>
      </c>
      <c r="K128">
        <v>5</v>
      </c>
      <c r="L128" s="2">
        <v>10953.14</v>
      </c>
      <c r="M128">
        <v>0.05</v>
      </c>
      <c r="N128">
        <v>2205.83</v>
      </c>
    </row>
    <row r="129" spans="1:14" x14ac:dyDescent="0.35">
      <c r="A129" t="s">
        <v>426</v>
      </c>
      <c r="B129" s="1">
        <v>45704</v>
      </c>
      <c r="C129" t="s">
        <v>427</v>
      </c>
      <c r="D129" t="s">
        <v>428</v>
      </c>
      <c r="E129" t="s">
        <v>35</v>
      </c>
      <c r="F129" t="s">
        <v>128</v>
      </c>
      <c r="G129" t="s">
        <v>354</v>
      </c>
      <c r="H129" t="s">
        <v>29</v>
      </c>
      <c r="I129" t="s">
        <v>94</v>
      </c>
      <c r="J129" t="s">
        <v>106</v>
      </c>
      <c r="K129">
        <v>3</v>
      </c>
      <c r="L129" s="2">
        <v>215726.21</v>
      </c>
      <c r="M129">
        <v>0</v>
      </c>
      <c r="N129">
        <v>18367.93</v>
      </c>
    </row>
    <row r="130" spans="1:14" x14ac:dyDescent="0.35">
      <c r="A130" t="s">
        <v>429</v>
      </c>
      <c r="B130" s="1">
        <v>45704</v>
      </c>
      <c r="C130" t="s">
        <v>430</v>
      </c>
      <c r="D130" t="s">
        <v>431</v>
      </c>
      <c r="E130" t="s">
        <v>51</v>
      </c>
      <c r="F130" t="s">
        <v>92</v>
      </c>
      <c r="G130" t="s">
        <v>178</v>
      </c>
      <c r="H130" t="s">
        <v>29</v>
      </c>
      <c r="I130" t="s">
        <v>30</v>
      </c>
      <c r="J130" t="s">
        <v>31</v>
      </c>
      <c r="K130">
        <v>7</v>
      </c>
      <c r="L130" s="2">
        <v>116961.9</v>
      </c>
      <c r="M130">
        <v>0</v>
      </c>
      <c r="N130">
        <v>18204.400000000001</v>
      </c>
    </row>
    <row r="131" spans="1:14" x14ac:dyDescent="0.35">
      <c r="A131" t="s">
        <v>432</v>
      </c>
      <c r="B131" s="1">
        <v>45705</v>
      </c>
      <c r="C131" t="s">
        <v>292</v>
      </c>
      <c r="D131" t="s">
        <v>433</v>
      </c>
      <c r="E131" t="s">
        <v>35</v>
      </c>
      <c r="F131" t="s">
        <v>36</v>
      </c>
      <c r="G131" t="s">
        <v>37</v>
      </c>
      <c r="H131" t="s">
        <v>38</v>
      </c>
      <c r="I131" t="s">
        <v>78</v>
      </c>
      <c r="J131" t="s">
        <v>79</v>
      </c>
      <c r="K131">
        <v>1</v>
      </c>
      <c r="L131" s="2">
        <v>299.24</v>
      </c>
      <c r="M131">
        <v>0.15</v>
      </c>
      <c r="N131">
        <v>55.3</v>
      </c>
    </row>
    <row r="132" spans="1:14" x14ac:dyDescent="0.35">
      <c r="A132" t="s">
        <v>434</v>
      </c>
      <c r="B132" s="1">
        <v>45705</v>
      </c>
      <c r="C132" t="s">
        <v>435</v>
      </c>
      <c r="D132" t="s">
        <v>436</v>
      </c>
      <c r="E132" t="s">
        <v>26</v>
      </c>
      <c r="F132" t="s">
        <v>121</v>
      </c>
      <c r="G132" t="s">
        <v>122</v>
      </c>
      <c r="H132" t="s">
        <v>29</v>
      </c>
      <c r="I132" t="s">
        <v>94</v>
      </c>
      <c r="J132" t="s">
        <v>138</v>
      </c>
      <c r="K132">
        <v>6</v>
      </c>
      <c r="L132" s="2">
        <v>225956.64</v>
      </c>
      <c r="M132">
        <v>0.1</v>
      </c>
      <c r="N132">
        <v>48024.42</v>
      </c>
    </row>
    <row r="133" spans="1:14" x14ac:dyDescent="0.35">
      <c r="A133" t="s">
        <v>437</v>
      </c>
      <c r="B133" s="1">
        <v>45705</v>
      </c>
      <c r="C133" t="s">
        <v>438</v>
      </c>
      <c r="D133" t="s">
        <v>439</v>
      </c>
      <c r="E133" t="s">
        <v>35</v>
      </c>
      <c r="F133" t="s">
        <v>70</v>
      </c>
      <c r="G133" t="s">
        <v>297</v>
      </c>
      <c r="H133" t="s">
        <v>38</v>
      </c>
      <c r="I133" t="s">
        <v>218</v>
      </c>
      <c r="J133" t="s">
        <v>225</v>
      </c>
      <c r="K133">
        <v>5</v>
      </c>
      <c r="L133" s="2">
        <v>1096.4000000000001</v>
      </c>
      <c r="M133">
        <v>0.05</v>
      </c>
      <c r="N133">
        <v>126.57</v>
      </c>
    </row>
    <row r="134" spans="1:14" x14ac:dyDescent="0.35">
      <c r="A134" t="s">
        <v>440</v>
      </c>
      <c r="B134" s="1">
        <v>45705</v>
      </c>
      <c r="C134" t="s">
        <v>427</v>
      </c>
      <c r="D134" t="s">
        <v>441</v>
      </c>
      <c r="E134" t="s">
        <v>51</v>
      </c>
      <c r="F134" t="s">
        <v>63</v>
      </c>
      <c r="G134" t="s">
        <v>324</v>
      </c>
      <c r="H134" t="s">
        <v>29</v>
      </c>
      <c r="I134" t="s">
        <v>94</v>
      </c>
      <c r="J134" t="s">
        <v>138</v>
      </c>
      <c r="K134">
        <v>7</v>
      </c>
      <c r="L134" s="2">
        <v>287862.99</v>
      </c>
      <c r="M134">
        <v>0.15</v>
      </c>
      <c r="N134">
        <v>32156.23</v>
      </c>
    </row>
    <row r="135" spans="1:14" x14ac:dyDescent="0.35">
      <c r="A135" t="s">
        <v>442</v>
      </c>
      <c r="B135" s="1">
        <v>45706</v>
      </c>
      <c r="C135" t="s">
        <v>443</v>
      </c>
      <c r="D135" t="s">
        <v>341</v>
      </c>
      <c r="E135" t="s">
        <v>17</v>
      </c>
      <c r="F135" t="s">
        <v>76</v>
      </c>
      <c r="G135" t="s">
        <v>77</v>
      </c>
      <c r="H135" t="s">
        <v>29</v>
      </c>
      <c r="I135" t="s">
        <v>30</v>
      </c>
      <c r="J135" t="s">
        <v>112</v>
      </c>
      <c r="K135">
        <v>4</v>
      </c>
      <c r="L135" s="2">
        <v>86464.14</v>
      </c>
      <c r="M135">
        <v>0.2</v>
      </c>
      <c r="N135">
        <v>16568.12</v>
      </c>
    </row>
    <row r="136" spans="1:14" x14ac:dyDescent="0.35">
      <c r="A136" t="s">
        <v>444</v>
      </c>
      <c r="B136" s="1">
        <v>45706</v>
      </c>
      <c r="C136" t="s">
        <v>445</v>
      </c>
      <c r="D136" t="s">
        <v>446</v>
      </c>
      <c r="E136" t="s">
        <v>51</v>
      </c>
      <c r="F136" t="s">
        <v>52</v>
      </c>
      <c r="G136" t="s">
        <v>53</v>
      </c>
      <c r="H136" t="s">
        <v>29</v>
      </c>
      <c r="I136" t="s">
        <v>30</v>
      </c>
      <c r="J136" t="s">
        <v>182</v>
      </c>
      <c r="K136">
        <v>6</v>
      </c>
      <c r="L136" s="2">
        <v>198898.91</v>
      </c>
      <c r="M136">
        <v>0.2</v>
      </c>
      <c r="N136">
        <v>13483.33</v>
      </c>
    </row>
    <row r="137" spans="1:14" x14ac:dyDescent="0.35">
      <c r="A137" t="s">
        <v>447</v>
      </c>
      <c r="B137" s="1">
        <v>45706</v>
      </c>
      <c r="C137" t="s">
        <v>448</v>
      </c>
      <c r="D137" t="s">
        <v>62</v>
      </c>
      <c r="E137" t="s">
        <v>26</v>
      </c>
      <c r="F137" t="s">
        <v>44</v>
      </c>
      <c r="G137" t="s">
        <v>45</v>
      </c>
      <c r="H137" t="s">
        <v>38</v>
      </c>
      <c r="I137" t="s">
        <v>39</v>
      </c>
      <c r="J137" t="s">
        <v>258</v>
      </c>
      <c r="K137">
        <v>4</v>
      </c>
      <c r="L137" s="2">
        <v>2232.96</v>
      </c>
      <c r="M137">
        <v>0.2</v>
      </c>
      <c r="N137">
        <v>188.34</v>
      </c>
    </row>
    <row r="138" spans="1:14" x14ac:dyDescent="0.35">
      <c r="A138" t="s">
        <v>449</v>
      </c>
      <c r="B138" s="1">
        <v>45706</v>
      </c>
      <c r="C138" t="s">
        <v>269</v>
      </c>
      <c r="D138" t="s">
        <v>450</v>
      </c>
      <c r="E138" t="s">
        <v>51</v>
      </c>
      <c r="F138" t="s">
        <v>104</v>
      </c>
      <c r="G138" t="s">
        <v>105</v>
      </c>
      <c r="H138" t="s">
        <v>29</v>
      </c>
      <c r="I138" t="s">
        <v>94</v>
      </c>
      <c r="J138" t="s">
        <v>106</v>
      </c>
      <c r="K138">
        <v>3</v>
      </c>
      <c r="L138" s="2">
        <v>235684.74</v>
      </c>
      <c r="M138">
        <v>0.05</v>
      </c>
      <c r="N138">
        <v>24425.51</v>
      </c>
    </row>
    <row r="139" spans="1:14" x14ac:dyDescent="0.35">
      <c r="A139" t="s">
        <v>451</v>
      </c>
      <c r="B139" s="1">
        <v>45707</v>
      </c>
      <c r="C139" t="s">
        <v>452</v>
      </c>
      <c r="D139" t="s">
        <v>336</v>
      </c>
      <c r="E139" t="s">
        <v>51</v>
      </c>
      <c r="F139" t="s">
        <v>104</v>
      </c>
      <c r="G139" t="s">
        <v>105</v>
      </c>
      <c r="H139" t="s">
        <v>20</v>
      </c>
      <c r="I139" t="s">
        <v>46</v>
      </c>
      <c r="J139" t="s">
        <v>203</v>
      </c>
      <c r="K139">
        <v>4</v>
      </c>
      <c r="L139" s="2">
        <v>17584.54</v>
      </c>
      <c r="M139">
        <v>0.05</v>
      </c>
      <c r="N139">
        <v>3757.42</v>
      </c>
    </row>
    <row r="140" spans="1:14" x14ac:dyDescent="0.35">
      <c r="A140" t="s">
        <v>453</v>
      </c>
      <c r="B140" s="1">
        <v>45708</v>
      </c>
      <c r="C140" t="s">
        <v>454</v>
      </c>
      <c r="D140" t="s">
        <v>455</v>
      </c>
      <c r="E140" t="s">
        <v>35</v>
      </c>
      <c r="F140" t="s">
        <v>70</v>
      </c>
      <c r="G140" t="s">
        <v>71</v>
      </c>
      <c r="H140" t="s">
        <v>29</v>
      </c>
      <c r="I140" t="s">
        <v>30</v>
      </c>
      <c r="J140" t="s">
        <v>112</v>
      </c>
      <c r="K140">
        <v>7</v>
      </c>
      <c r="L140" s="2">
        <v>173305.98</v>
      </c>
      <c r="M140">
        <v>0.1</v>
      </c>
      <c r="N140">
        <v>19902.37</v>
      </c>
    </row>
    <row r="141" spans="1:14" x14ac:dyDescent="0.35">
      <c r="A141" t="s">
        <v>456</v>
      </c>
      <c r="B141" s="1">
        <v>45708</v>
      </c>
      <c r="C141" t="s">
        <v>402</v>
      </c>
      <c r="D141" t="s">
        <v>248</v>
      </c>
      <c r="E141" t="s">
        <v>26</v>
      </c>
      <c r="F141" t="s">
        <v>44</v>
      </c>
      <c r="G141" t="s">
        <v>116</v>
      </c>
      <c r="H141" t="s">
        <v>20</v>
      </c>
      <c r="I141" t="s">
        <v>21</v>
      </c>
      <c r="J141" t="s">
        <v>72</v>
      </c>
      <c r="K141">
        <v>3</v>
      </c>
      <c r="L141" s="2">
        <v>8713.15</v>
      </c>
      <c r="M141">
        <v>0.1</v>
      </c>
      <c r="N141">
        <v>1292.58</v>
      </c>
    </row>
    <row r="142" spans="1:14" x14ac:dyDescent="0.35">
      <c r="A142" t="s">
        <v>457</v>
      </c>
      <c r="B142" s="1">
        <v>45709</v>
      </c>
      <c r="C142" t="s">
        <v>208</v>
      </c>
      <c r="D142" t="s">
        <v>458</v>
      </c>
      <c r="E142" t="s">
        <v>17</v>
      </c>
      <c r="F142" t="s">
        <v>210</v>
      </c>
      <c r="G142" t="s">
        <v>211</v>
      </c>
      <c r="H142" t="s">
        <v>20</v>
      </c>
      <c r="I142" t="s">
        <v>65</v>
      </c>
      <c r="J142" t="s">
        <v>142</v>
      </c>
      <c r="K142">
        <v>5</v>
      </c>
      <c r="L142" s="2">
        <v>96098.58</v>
      </c>
      <c r="M142">
        <v>0.15</v>
      </c>
      <c r="N142">
        <v>16158.96</v>
      </c>
    </row>
    <row r="143" spans="1:14" x14ac:dyDescent="0.35">
      <c r="A143" t="s">
        <v>459</v>
      </c>
      <c r="B143" s="1">
        <v>45709</v>
      </c>
      <c r="C143" t="s">
        <v>460</v>
      </c>
      <c r="D143" t="s">
        <v>461</v>
      </c>
      <c r="E143" t="s">
        <v>26</v>
      </c>
      <c r="F143" t="s">
        <v>86</v>
      </c>
      <c r="G143" t="s">
        <v>87</v>
      </c>
      <c r="H143" t="s">
        <v>29</v>
      </c>
      <c r="I143" t="s">
        <v>30</v>
      </c>
      <c r="J143" t="s">
        <v>31</v>
      </c>
      <c r="K143">
        <v>3</v>
      </c>
      <c r="L143" s="2">
        <v>52438.87</v>
      </c>
      <c r="M143">
        <v>0</v>
      </c>
      <c r="N143">
        <v>12113.96</v>
      </c>
    </row>
    <row r="144" spans="1:14" x14ac:dyDescent="0.35">
      <c r="A144" t="s">
        <v>462</v>
      </c>
      <c r="B144" s="1">
        <v>45709</v>
      </c>
      <c r="C144" t="s">
        <v>463</v>
      </c>
      <c r="D144" t="s">
        <v>464</v>
      </c>
      <c r="E144" t="s">
        <v>17</v>
      </c>
      <c r="F144" t="s">
        <v>76</v>
      </c>
      <c r="G144" t="s">
        <v>77</v>
      </c>
      <c r="H144" t="s">
        <v>38</v>
      </c>
      <c r="I144" t="s">
        <v>218</v>
      </c>
      <c r="J144" t="s">
        <v>221</v>
      </c>
      <c r="K144">
        <v>6</v>
      </c>
      <c r="L144" s="2">
        <v>1065.0899999999999</v>
      </c>
      <c r="M144">
        <v>0</v>
      </c>
      <c r="N144">
        <v>194.06</v>
      </c>
    </row>
    <row r="145" spans="1:14" x14ac:dyDescent="0.35">
      <c r="A145" t="s">
        <v>465</v>
      </c>
      <c r="B145" s="1">
        <v>45711</v>
      </c>
      <c r="C145" t="s">
        <v>466</v>
      </c>
      <c r="D145" t="s">
        <v>467</v>
      </c>
      <c r="E145" t="s">
        <v>51</v>
      </c>
      <c r="F145" t="s">
        <v>92</v>
      </c>
      <c r="G145" t="s">
        <v>178</v>
      </c>
      <c r="H145" t="s">
        <v>29</v>
      </c>
      <c r="I145" t="s">
        <v>58</v>
      </c>
      <c r="J145" t="s">
        <v>88</v>
      </c>
      <c r="K145">
        <v>6</v>
      </c>
      <c r="L145" s="2">
        <v>14868.98</v>
      </c>
      <c r="M145">
        <v>0</v>
      </c>
      <c r="N145">
        <v>1117.6400000000001</v>
      </c>
    </row>
    <row r="146" spans="1:14" x14ac:dyDescent="0.35">
      <c r="A146" t="s">
        <v>468</v>
      </c>
      <c r="B146" s="1">
        <v>45711</v>
      </c>
      <c r="C146" t="s">
        <v>126</v>
      </c>
      <c r="D146" t="s">
        <v>339</v>
      </c>
      <c r="E146" t="s">
        <v>26</v>
      </c>
      <c r="F146" t="s">
        <v>27</v>
      </c>
      <c r="G146" t="s">
        <v>267</v>
      </c>
      <c r="H146" t="s">
        <v>38</v>
      </c>
      <c r="I146" t="s">
        <v>39</v>
      </c>
      <c r="J146" t="s">
        <v>40</v>
      </c>
      <c r="K146">
        <v>5</v>
      </c>
      <c r="L146" s="2">
        <v>1876.8</v>
      </c>
      <c r="M146">
        <v>0.15</v>
      </c>
      <c r="N146">
        <v>197.03</v>
      </c>
    </row>
    <row r="147" spans="1:14" x14ac:dyDescent="0.35">
      <c r="A147" t="s">
        <v>469</v>
      </c>
      <c r="B147" s="1">
        <v>45711</v>
      </c>
      <c r="C147" t="s">
        <v>470</v>
      </c>
      <c r="D147" t="s">
        <v>120</v>
      </c>
      <c r="E147" t="s">
        <v>51</v>
      </c>
      <c r="F147" t="s">
        <v>92</v>
      </c>
      <c r="G147" t="s">
        <v>93</v>
      </c>
      <c r="H147" t="s">
        <v>38</v>
      </c>
      <c r="I147" t="s">
        <v>78</v>
      </c>
      <c r="J147" t="s">
        <v>174</v>
      </c>
      <c r="K147">
        <v>1</v>
      </c>
      <c r="L147" s="2">
        <v>436.12</v>
      </c>
      <c r="M147">
        <v>0.05</v>
      </c>
      <c r="N147">
        <v>33.619999999999997</v>
      </c>
    </row>
    <row r="148" spans="1:14" x14ac:dyDescent="0.35">
      <c r="A148" t="s">
        <v>471</v>
      </c>
      <c r="B148" s="1">
        <v>45712</v>
      </c>
      <c r="C148" t="s">
        <v>472</v>
      </c>
      <c r="D148" t="s">
        <v>213</v>
      </c>
      <c r="E148" t="s">
        <v>51</v>
      </c>
      <c r="F148" t="s">
        <v>92</v>
      </c>
      <c r="G148" t="s">
        <v>178</v>
      </c>
      <c r="H148" t="s">
        <v>38</v>
      </c>
      <c r="I148" t="s">
        <v>218</v>
      </c>
      <c r="J148" t="s">
        <v>221</v>
      </c>
      <c r="K148">
        <v>6</v>
      </c>
      <c r="L148" s="2">
        <v>861.07</v>
      </c>
      <c r="M148">
        <v>0.15</v>
      </c>
      <c r="N148">
        <v>79.73</v>
      </c>
    </row>
    <row r="149" spans="1:14" x14ac:dyDescent="0.35">
      <c r="A149" t="s">
        <v>473</v>
      </c>
      <c r="B149" s="1">
        <v>45712</v>
      </c>
      <c r="C149" t="s">
        <v>409</v>
      </c>
      <c r="D149" t="s">
        <v>474</v>
      </c>
      <c r="E149" t="s">
        <v>51</v>
      </c>
      <c r="F149" t="s">
        <v>92</v>
      </c>
      <c r="G149" t="s">
        <v>93</v>
      </c>
      <c r="H149" t="s">
        <v>38</v>
      </c>
      <c r="I149" t="s">
        <v>78</v>
      </c>
      <c r="J149" t="s">
        <v>79</v>
      </c>
      <c r="K149">
        <v>6</v>
      </c>
      <c r="L149" s="2">
        <v>1941.41</v>
      </c>
      <c r="M149">
        <v>0.05</v>
      </c>
      <c r="N149">
        <v>216.52</v>
      </c>
    </row>
    <row r="150" spans="1:14" x14ac:dyDescent="0.35">
      <c r="A150" t="s">
        <v>475</v>
      </c>
      <c r="B150" s="1">
        <v>45712</v>
      </c>
      <c r="C150" t="s">
        <v>257</v>
      </c>
      <c r="D150" t="s">
        <v>349</v>
      </c>
      <c r="E150" t="s">
        <v>26</v>
      </c>
      <c r="F150" t="s">
        <v>44</v>
      </c>
      <c r="G150" t="s">
        <v>116</v>
      </c>
      <c r="H150" t="s">
        <v>20</v>
      </c>
      <c r="I150" t="s">
        <v>65</v>
      </c>
      <c r="J150" t="s">
        <v>117</v>
      </c>
      <c r="K150">
        <v>1</v>
      </c>
      <c r="L150" s="2">
        <v>4931.22</v>
      </c>
      <c r="M150">
        <v>0.15</v>
      </c>
      <c r="N150">
        <v>417.07</v>
      </c>
    </row>
    <row r="151" spans="1:14" x14ac:dyDescent="0.35">
      <c r="A151" t="s">
        <v>476</v>
      </c>
      <c r="B151" s="1">
        <v>45713</v>
      </c>
      <c r="C151" t="s">
        <v>477</v>
      </c>
      <c r="D151" t="s">
        <v>450</v>
      </c>
      <c r="E151" t="s">
        <v>35</v>
      </c>
      <c r="F151" t="s">
        <v>70</v>
      </c>
      <c r="G151" t="s">
        <v>297</v>
      </c>
      <c r="H151" t="s">
        <v>29</v>
      </c>
      <c r="I151" t="s">
        <v>58</v>
      </c>
      <c r="J151" t="s">
        <v>300</v>
      </c>
      <c r="K151">
        <v>2</v>
      </c>
      <c r="L151" s="2">
        <v>2992.61</v>
      </c>
      <c r="M151">
        <v>0</v>
      </c>
      <c r="N151">
        <v>585.85</v>
      </c>
    </row>
    <row r="152" spans="1:14" x14ac:dyDescent="0.35">
      <c r="A152" t="s">
        <v>478</v>
      </c>
      <c r="B152" s="1">
        <v>45714</v>
      </c>
      <c r="C152" t="s">
        <v>479</v>
      </c>
      <c r="D152" t="s">
        <v>188</v>
      </c>
      <c r="E152" t="s">
        <v>35</v>
      </c>
      <c r="F152" t="s">
        <v>70</v>
      </c>
      <c r="G152" t="s">
        <v>71</v>
      </c>
      <c r="H152" t="s">
        <v>20</v>
      </c>
      <c r="I152" t="s">
        <v>46</v>
      </c>
      <c r="J152" t="s">
        <v>203</v>
      </c>
      <c r="K152">
        <v>5</v>
      </c>
      <c r="L152" s="2">
        <v>22209.8</v>
      </c>
      <c r="M152">
        <v>0.1</v>
      </c>
      <c r="N152">
        <v>4747.88</v>
      </c>
    </row>
    <row r="153" spans="1:14" x14ac:dyDescent="0.35">
      <c r="A153" t="s">
        <v>480</v>
      </c>
      <c r="B153" s="1">
        <v>45714</v>
      </c>
      <c r="C153" t="s">
        <v>481</v>
      </c>
      <c r="D153" t="s">
        <v>228</v>
      </c>
      <c r="E153" t="s">
        <v>51</v>
      </c>
      <c r="F153" t="s">
        <v>99</v>
      </c>
      <c r="G153" t="s">
        <v>482</v>
      </c>
      <c r="H153" t="s">
        <v>29</v>
      </c>
      <c r="I153" t="s">
        <v>30</v>
      </c>
      <c r="J153" t="s">
        <v>182</v>
      </c>
      <c r="K153">
        <v>6</v>
      </c>
      <c r="L153" s="2">
        <v>208629.64</v>
      </c>
      <c r="M153">
        <v>0.2</v>
      </c>
      <c r="N153">
        <v>14823.02</v>
      </c>
    </row>
    <row r="154" spans="1:14" x14ac:dyDescent="0.35">
      <c r="A154" t="s">
        <v>483</v>
      </c>
      <c r="B154" s="1">
        <v>45715</v>
      </c>
      <c r="C154" t="s">
        <v>242</v>
      </c>
      <c r="D154" t="s">
        <v>425</v>
      </c>
      <c r="E154" t="s">
        <v>35</v>
      </c>
      <c r="F154" t="s">
        <v>128</v>
      </c>
      <c r="G154" t="s">
        <v>129</v>
      </c>
      <c r="H154" t="s">
        <v>20</v>
      </c>
      <c r="I154" t="s">
        <v>21</v>
      </c>
      <c r="J154" t="s">
        <v>72</v>
      </c>
      <c r="K154">
        <v>1</v>
      </c>
      <c r="L154" s="2">
        <v>2844.82</v>
      </c>
      <c r="M154">
        <v>0.05</v>
      </c>
      <c r="N154">
        <v>536.74</v>
      </c>
    </row>
    <row r="155" spans="1:14" x14ac:dyDescent="0.35">
      <c r="A155" t="s">
        <v>484</v>
      </c>
      <c r="B155" s="1">
        <v>45715</v>
      </c>
      <c r="C155" t="s">
        <v>144</v>
      </c>
      <c r="D155" t="s">
        <v>485</v>
      </c>
      <c r="E155" t="s">
        <v>51</v>
      </c>
      <c r="F155" t="s">
        <v>52</v>
      </c>
      <c r="G155" t="s">
        <v>53</v>
      </c>
      <c r="H155" t="s">
        <v>20</v>
      </c>
      <c r="I155" t="s">
        <v>21</v>
      </c>
      <c r="J155" t="s">
        <v>72</v>
      </c>
      <c r="K155">
        <v>4</v>
      </c>
      <c r="L155" s="2">
        <v>10415.459999999999</v>
      </c>
      <c r="M155">
        <v>0.1</v>
      </c>
      <c r="N155">
        <v>944.59</v>
      </c>
    </row>
    <row r="156" spans="1:14" x14ac:dyDescent="0.35">
      <c r="A156" t="s">
        <v>486</v>
      </c>
      <c r="B156" s="1">
        <v>45715</v>
      </c>
      <c r="C156" t="s">
        <v>487</v>
      </c>
      <c r="D156" t="s">
        <v>224</v>
      </c>
      <c r="E156" t="s">
        <v>35</v>
      </c>
      <c r="F156" t="s">
        <v>70</v>
      </c>
      <c r="G156" t="s">
        <v>71</v>
      </c>
      <c r="H156" t="s">
        <v>29</v>
      </c>
      <c r="I156" t="s">
        <v>94</v>
      </c>
      <c r="J156" t="s">
        <v>138</v>
      </c>
      <c r="K156">
        <v>3</v>
      </c>
      <c r="L156" s="2">
        <v>121763.08</v>
      </c>
      <c r="M156">
        <v>0.05</v>
      </c>
      <c r="N156">
        <v>20995.09</v>
      </c>
    </row>
    <row r="157" spans="1:14" x14ac:dyDescent="0.35">
      <c r="A157" t="s">
        <v>488</v>
      </c>
      <c r="B157" s="1">
        <v>45715</v>
      </c>
      <c r="C157" t="s">
        <v>489</v>
      </c>
      <c r="D157" t="s">
        <v>490</v>
      </c>
      <c r="E157" t="s">
        <v>26</v>
      </c>
      <c r="F157" t="s">
        <v>86</v>
      </c>
      <c r="G157" t="s">
        <v>87</v>
      </c>
      <c r="H157" t="s">
        <v>29</v>
      </c>
      <c r="I157" t="s">
        <v>30</v>
      </c>
      <c r="J157" t="s">
        <v>182</v>
      </c>
      <c r="K157">
        <v>6</v>
      </c>
      <c r="L157" s="2">
        <v>223111.92</v>
      </c>
      <c r="M157">
        <v>0.15</v>
      </c>
      <c r="N157">
        <v>8651.82</v>
      </c>
    </row>
    <row r="158" spans="1:14" x14ac:dyDescent="0.35">
      <c r="A158" t="s">
        <v>491</v>
      </c>
      <c r="B158" s="1">
        <v>45716</v>
      </c>
      <c r="C158" t="s">
        <v>331</v>
      </c>
      <c r="D158" t="s">
        <v>492</v>
      </c>
      <c r="E158" t="s">
        <v>35</v>
      </c>
      <c r="F158" t="s">
        <v>110</v>
      </c>
      <c r="G158" t="s">
        <v>111</v>
      </c>
      <c r="H158" t="s">
        <v>38</v>
      </c>
      <c r="I158" t="s">
        <v>218</v>
      </c>
      <c r="J158" t="s">
        <v>219</v>
      </c>
      <c r="K158">
        <v>1</v>
      </c>
      <c r="L158" s="2">
        <v>289.89999999999998</v>
      </c>
      <c r="M158">
        <v>0.05</v>
      </c>
      <c r="N158">
        <v>40.47</v>
      </c>
    </row>
    <row r="159" spans="1:14" x14ac:dyDescent="0.35">
      <c r="A159" t="s">
        <v>493</v>
      </c>
      <c r="B159" s="1">
        <v>45716</v>
      </c>
      <c r="C159" t="s">
        <v>494</v>
      </c>
      <c r="D159" t="s">
        <v>495</v>
      </c>
      <c r="E159" t="s">
        <v>51</v>
      </c>
      <c r="F159" t="s">
        <v>52</v>
      </c>
      <c r="G159" t="s">
        <v>53</v>
      </c>
      <c r="H159" t="s">
        <v>29</v>
      </c>
      <c r="I159" t="s">
        <v>30</v>
      </c>
      <c r="J159" t="s">
        <v>31</v>
      </c>
      <c r="K159">
        <v>4</v>
      </c>
      <c r="L159" s="2">
        <v>59689.26</v>
      </c>
      <c r="M159">
        <v>0.1</v>
      </c>
      <c r="N159">
        <v>2635.35</v>
      </c>
    </row>
    <row r="160" spans="1:14" x14ac:dyDescent="0.35">
      <c r="A160" t="s">
        <v>496</v>
      </c>
      <c r="B160" s="1">
        <v>45716</v>
      </c>
      <c r="C160" t="s">
        <v>497</v>
      </c>
      <c r="D160" t="s">
        <v>62</v>
      </c>
      <c r="E160" t="s">
        <v>26</v>
      </c>
      <c r="F160" t="s">
        <v>27</v>
      </c>
      <c r="G160" t="s">
        <v>267</v>
      </c>
      <c r="H160" t="s">
        <v>20</v>
      </c>
      <c r="I160" t="s">
        <v>46</v>
      </c>
      <c r="J160" t="s">
        <v>47</v>
      </c>
      <c r="K160">
        <v>4</v>
      </c>
      <c r="L160" s="2">
        <v>23201.58</v>
      </c>
      <c r="M160">
        <v>0.1</v>
      </c>
      <c r="N160">
        <v>4789.67</v>
      </c>
    </row>
    <row r="161" spans="1:14" x14ac:dyDescent="0.35">
      <c r="A161" t="s">
        <v>498</v>
      </c>
      <c r="B161" s="1">
        <v>45716</v>
      </c>
      <c r="C161" t="s">
        <v>499</v>
      </c>
      <c r="D161" t="s">
        <v>500</v>
      </c>
      <c r="E161" t="s">
        <v>26</v>
      </c>
      <c r="F161" t="s">
        <v>86</v>
      </c>
      <c r="G161" t="s">
        <v>87</v>
      </c>
      <c r="H161" t="s">
        <v>29</v>
      </c>
      <c r="I161" t="s">
        <v>94</v>
      </c>
      <c r="J161" t="s">
        <v>95</v>
      </c>
      <c r="K161">
        <v>2</v>
      </c>
      <c r="L161" s="2">
        <v>94281.39</v>
      </c>
      <c r="M161">
        <v>0.2</v>
      </c>
      <c r="N161">
        <v>15336.48</v>
      </c>
    </row>
    <row r="162" spans="1:14" x14ac:dyDescent="0.35">
      <c r="A162" t="s">
        <v>501</v>
      </c>
      <c r="B162" s="1">
        <v>45716</v>
      </c>
      <c r="C162" t="s">
        <v>502</v>
      </c>
      <c r="D162" t="s">
        <v>158</v>
      </c>
      <c r="E162" t="s">
        <v>51</v>
      </c>
      <c r="F162" t="s">
        <v>52</v>
      </c>
      <c r="G162" t="s">
        <v>53</v>
      </c>
      <c r="H162" t="s">
        <v>20</v>
      </c>
      <c r="I162" t="s">
        <v>21</v>
      </c>
      <c r="J162" t="s">
        <v>197</v>
      </c>
      <c r="K162">
        <v>6</v>
      </c>
      <c r="L162" s="2">
        <v>76982.820000000007</v>
      </c>
      <c r="M162">
        <v>0</v>
      </c>
      <c r="N162">
        <v>11382.59</v>
      </c>
    </row>
    <row r="163" spans="1:14" x14ac:dyDescent="0.35">
      <c r="A163" t="s">
        <v>503</v>
      </c>
      <c r="B163" s="1">
        <v>45717</v>
      </c>
      <c r="C163" t="s">
        <v>504</v>
      </c>
      <c r="D163" t="s">
        <v>492</v>
      </c>
      <c r="E163" t="s">
        <v>35</v>
      </c>
      <c r="F163" t="s">
        <v>110</v>
      </c>
      <c r="G163" t="s">
        <v>111</v>
      </c>
      <c r="H163" t="s">
        <v>29</v>
      </c>
      <c r="I163" t="s">
        <v>30</v>
      </c>
      <c r="J163" t="s">
        <v>112</v>
      </c>
      <c r="K163">
        <v>4</v>
      </c>
      <c r="L163" s="2">
        <v>90698.69</v>
      </c>
      <c r="M163">
        <v>0.15</v>
      </c>
      <c r="N163">
        <v>5760.25</v>
      </c>
    </row>
    <row r="164" spans="1:14" x14ac:dyDescent="0.35">
      <c r="A164" t="s">
        <v>505</v>
      </c>
      <c r="B164" s="1">
        <v>45717</v>
      </c>
      <c r="C164" t="s">
        <v>506</v>
      </c>
      <c r="D164" t="s">
        <v>450</v>
      </c>
      <c r="E164" t="s">
        <v>26</v>
      </c>
      <c r="F164" t="s">
        <v>27</v>
      </c>
      <c r="G164" t="s">
        <v>249</v>
      </c>
      <c r="H164" t="s">
        <v>29</v>
      </c>
      <c r="I164" t="s">
        <v>58</v>
      </c>
      <c r="J164" t="s">
        <v>300</v>
      </c>
      <c r="K164">
        <v>1</v>
      </c>
      <c r="L164" s="2">
        <v>1395.82</v>
      </c>
      <c r="M164">
        <v>0</v>
      </c>
      <c r="N164">
        <v>217.37</v>
      </c>
    </row>
    <row r="165" spans="1:14" x14ac:dyDescent="0.35">
      <c r="A165" t="s">
        <v>507</v>
      </c>
      <c r="B165" s="1">
        <v>45718</v>
      </c>
      <c r="C165" t="s">
        <v>338</v>
      </c>
      <c r="D165" t="s">
        <v>508</v>
      </c>
      <c r="E165" t="s">
        <v>17</v>
      </c>
      <c r="F165" t="s">
        <v>210</v>
      </c>
      <c r="G165" t="s">
        <v>211</v>
      </c>
      <c r="H165" t="s">
        <v>20</v>
      </c>
      <c r="I165" t="s">
        <v>21</v>
      </c>
      <c r="J165" t="s">
        <v>197</v>
      </c>
      <c r="K165">
        <v>2</v>
      </c>
      <c r="L165" s="2">
        <v>20825.68</v>
      </c>
      <c r="M165">
        <v>0.15</v>
      </c>
      <c r="N165">
        <v>1722.84</v>
      </c>
    </row>
    <row r="166" spans="1:14" x14ac:dyDescent="0.35">
      <c r="A166" t="s">
        <v>509</v>
      </c>
      <c r="B166" s="1">
        <v>45718</v>
      </c>
      <c r="C166" t="s">
        <v>195</v>
      </c>
      <c r="D166" t="s">
        <v>375</v>
      </c>
      <c r="E166" t="s">
        <v>51</v>
      </c>
      <c r="F166" t="s">
        <v>63</v>
      </c>
      <c r="G166" t="s">
        <v>64</v>
      </c>
      <c r="H166" t="s">
        <v>38</v>
      </c>
      <c r="I166" t="s">
        <v>78</v>
      </c>
      <c r="J166" t="s">
        <v>307</v>
      </c>
      <c r="K166">
        <v>2</v>
      </c>
      <c r="L166" s="2">
        <v>1158.2</v>
      </c>
      <c r="M166">
        <v>0</v>
      </c>
      <c r="N166">
        <v>99.53</v>
      </c>
    </row>
    <row r="167" spans="1:14" x14ac:dyDescent="0.35">
      <c r="A167" t="s">
        <v>510</v>
      </c>
      <c r="B167" s="1">
        <v>45718</v>
      </c>
      <c r="C167" t="s">
        <v>511</v>
      </c>
      <c r="D167" t="s">
        <v>512</v>
      </c>
      <c r="E167" t="s">
        <v>26</v>
      </c>
      <c r="F167" t="s">
        <v>44</v>
      </c>
      <c r="G167" t="s">
        <v>116</v>
      </c>
      <c r="H167" t="s">
        <v>29</v>
      </c>
      <c r="I167" t="s">
        <v>30</v>
      </c>
      <c r="J167" t="s">
        <v>182</v>
      </c>
      <c r="K167">
        <v>5</v>
      </c>
      <c r="L167" s="2">
        <v>224590.91</v>
      </c>
      <c r="M167">
        <v>0</v>
      </c>
      <c r="N167">
        <v>16969.29</v>
      </c>
    </row>
    <row r="168" spans="1:14" x14ac:dyDescent="0.35">
      <c r="A168" t="s">
        <v>513</v>
      </c>
      <c r="B168" s="1">
        <v>45719</v>
      </c>
      <c r="C168" t="s">
        <v>514</v>
      </c>
      <c r="D168" t="s">
        <v>515</v>
      </c>
      <c r="E168" t="s">
        <v>35</v>
      </c>
      <c r="F168" t="s">
        <v>70</v>
      </c>
      <c r="G168" t="s">
        <v>71</v>
      </c>
      <c r="H168" t="s">
        <v>20</v>
      </c>
      <c r="I168" t="s">
        <v>21</v>
      </c>
      <c r="J168" t="s">
        <v>72</v>
      </c>
      <c r="K168">
        <v>5</v>
      </c>
      <c r="L168" s="2">
        <v>12934.59</v>
      </c>
      <c r="M168">
        <v>0.1</v>
      </c>
      <c r="N168">
        <v>1396.82</v>
      </c>
    </row>
    <row r="169" spans="1:14" x14ac:dyDescent="0.35">
      <c r="A169" t="s">
        <v>516</v>
      </c>
      <c r="B169" s="1">
        <v>45719</v>
      </c>
      <c r="C169" t="s">
        <v>343</v>
      </c>
      <c r="D169" t="s">
        <v>517</v>
      </c>
      <c r="E169" t="s">
        <v>51</v>
      </c>
      <c r="F169" t="s">
        <v>52</v>
      </c>
      <c r="G169" t="s">
        <v>53</v>
      </c>
      <c r="H169" t="s">
        <v>20</v>
      </c>
      <c r="I169" t="s">
        <v>21</v>
      </c>
      <c r="J169" t="s">
        <v>197</v>
      </c>
      <c r="K169">
        <v>3</v>
      </c>
      <c r="L169" s="2">
        <v>36094.370000000003</v>
      </c>
      <c r="M169">
        <v>0.05</v>
      </c>
      <c r="N169">
        <v>4743.46</v>
      </c>
    </row>
    <row r="170" spans="1:14" x14ac:dyDescent="0.35">
      <c r="A170" t="s">
        <v>518</v>
      </c>
      <c r="B170" s="1">
        <v>45719</v>
      </c>
      <c r="C170" t="s">
        <v>338</v>
      </c>
      <c r="D170" t="s">
        <v>519</v>
      </c>
      <c r="E170" t="s">
        <v>35</v>
      </c>
      <c r="F170" t="s">
        <v>70</v>
      </c>
      <c r="G170" t="s">
        <v>297</v>
      </c>
      <c r="H170" t="s">
        <v>20</v>
      </c>
      <c r="I170" t="s">
        <v>21</v>
      </c>
      <c r="J170" t="s">
        <v>72</v>
      </c>
      <c r="K170">
        <v>7</v>
      </c>
      <c r="L170" s="2">
        <v>19139.32</v>
      </c>
      <c r="M170">
        <v>0.15</v>
      </c>
      <c r="N170">
        <v>3249.25</v>
      </c>
    </row>
    <row r="171" spans="1:14" x14ac:dyDescent="0.35">
      <c r="A171" t="s">
        <v>520</v>
      </c>
      <c r="B171" s="1">
        <v>45719</v>
      </c>
      <c r="C171" t="s">
        <v>521</v>
      </c>
      <c r="D171" t="s">
        <v>279</v>
      </c>
      <c r="E171" t="s">
        <v>35</v>
      </c>
      <c r="F171" t="s">
        <v>128</v>
      </c>
      <c r="G171" t="s">
        <v>129</v>
      </c>
      <c r="H171" t="s">
        <v>38</v>
      </c>
      <c r="I171" t="s">
        <v>39</v>
      </c>
      <c r="J171" t="s">
        <v>134</v>
      </c>
      <c r="K171">
        <v>6</v>
      </c>
      <c r="L171" s="2">
        <v>3594.67</v>
      </c>
      <c r="M171">
        <v>0.2</v>
      </c>
      <c r="N171">
        <v>539.64</v>
      </c>
    </row>
    <row r="172" spans="1:14" x14ac:dyDescent="0.35">
      <c r="A172" t="s">
        <v>522</v>
      </c>
      <c r="B172" s="1">
        <v>45719</v>
      </c>
      <c r="C172" t="s">
        <v>236</v>
      </c>
      <c r="D172" t="s">
        <v>383</v>
      </c>
      <c r="E172" t="s">
        <v>35</v>
      </c>
      <c r="F172" t="s">
        <v>70</v>
      </c>
      <c r="G172" t="s">
        <v>297</v>
      </c>
      <c r="H172" t="s">
        <v>38</v>
      </c>
      <c r="I172" t="s">
        <v>39</v>
      </c>
      <c r="J172" t="s">
        <v>134</v>
      </c>
      <c r="K172">
        <v>2</v>
      </c>
      <c r="L172" s="2">
        <v>1276.56</v>
      </c>
      <c r="M172">
        <v>0.15</v>
      </c>
      <c r="N172">
        <v>223.95</v>
      </c>
    </row>
    <row r="173" spans="1:14" x14ac:dyDescent="0.35">
      <c r="A173" t="s">
        <v>523</v>
      </c>
      <c r="B173" s="1">
        <v>45719</v>
      </c>
      <c r="C173" t="s">
        <v>489</v>
      </c>
      <c r="D173" t="s">
        <v>524</v>
      </c>
      <c r="E173" t="s">
        <v>17</v>
      </c>
      <c r="F173" t="s">
        <v>210</v>
      </c>
      <c r="G173" t="s">
        <v>211</v>
      </c>
      <c r="H173" t="s">
        <v>29</v>
      </c>
      <c r="I173" t="s">
        <v>94</v>
      </c>
      <c r="J173" t="s">
        <v>95</v>
      </c>
      <c r="K173">
        <v>7</v>
      </c>
      <c r="L173" s="2">
        <v>402918.36</v>
      </c>
      <c r="M173">
        <v>0.05</v>
      </c>
      <c r="N173">
        <v>88438.15</v>
      </c>
    </row>
    <row r="174" spans="1:14" x14ac:dyDescent="0.35">
      <c r="A174" t="s">
        <v>525</v>
      </c>
      <c r="B174" s="1">
        <v>45719</v>
      </c>
      <c r="C174" t="s">
        <v>526</v>
      </c>
      <c r="D174" t="s">
        <v>155</v>
      </c>
      <c r="E174" t="s">
        <v>51</v>
      </c>
      <c r="F174" t="s">
        <v>52</v>
      </c>
      <c r="G174" t="s">
        <v>57</v>
      </c>
      <c r="H174" t="s">
        <v>29</v>
      </c>
      <c r="I174" t="s">
        <v>30</v>
      </c>
      <c r="J174" t="s">
        <v>112</v>
      </c>
      <c r="K174">
        <v>5</v>
      </c>
      <c r="L174" s="2">
        <v>129854.11</v>
      </c>
      <c r="M174">
        <v>0</v>
      </c>
      <c r="N174">
        <v>8245.82</v>
      </c>
    </row>
    <row r="175" spans="1:14" x14ac:dyDescent="0.35">
      <c r="A175" t="s">
        <v>527</v>
      </c>
      <c r="B175" s="1">
        <v>45720</v>
      </c>
      <c r="C175" t="s">
        <v>511</v>
      </c>
      <c r="D175" t="s">
        <v>375</v>
      </c>
      <c r="E175" t="s">
        <v>17</v>
      </c>
      <c r="F175" t="s">
        <v>185</v>
      </c>
      <c r="G175" t="s">
        <v>528</v>
      </c>
      <c r="H175" t="s">
        <v>29</v>
      </c>
      <c r="I175" t="s">
        <v>58</v>
      </c>
      <c r="J175" t="s">
        <v>88</v>
      </c>
      <c r="K175">
        <v>7</v>
      </c>
      <c r="L175" s="2">
        <v>13999.08</v>
      </c>
      <c r="M175">
        <v>0.15</v>
      </c>
      <c r="N175">
        <v>1713.11</v>
      </c>
    </row>
    <row r="176" spans="1:14" x14ac:dyDescent="0.35">
      <c r="A176" t="s">
        <v>529</v>
      </c>
      <c r="B176" s="1">
        <v>45720</v>
      </c>
      <c r="C176" t="s">
        <v>382</v>
      </c>
      <c r="D176" t="s">
        <v>34</v>
      </c>
      <c r="E176" t="s">
        <v>17</v>
      </c>
      <c r="F176" t="s">
        <v>210</v>
      </c>
      <c r="G176" t="s">
        <v>211</v>
      </c>
      <c r="H176" t="s">
        <v>29</v>
      </c>
      <c r="I176" t="s">
        <v>30</v>
      </c>
      <c r="J176" t="s">
        <v>31</v>
      </c>
      <c r="K176">
        <v>1</v>
      </c>
      <c r="L176" s="2">
        <v>15677.54</v>
      </c>
      <c r="M176">
        <v>0.1</v>
      </c>
      <c r="N176">
        <v>1305.45</v>
      </c>
    </row>
    <row r="177" spans="1:14" x14ac:dyDescent="0.35">
      <c r="A177" t="s">
        <v>530</v>
      </c>
      <c r="B177" s="1">
        <v>45721</v>
      </c>
      <c r="C177" t="s">
        <v>531</v>
      </c>
      <c r="D177" t="s">
        <v>512</v>
      </c>
      <c r="E177" t="s">
        <v>26</v>
      </c>
      <c r="F177" t="s">
        <v>121</v>
      </c>
      <c r="G177" t="s">
        <v>214</v>
      </c>
      <c r="H177" t="s">
        <v>20</v>
      </c>
      <c r="I177" t="s">
        <v>46</v>
      </c>
      <c r="J177" t="s">
        <v>130</v>
      </c>
      <c r="K177">
        <v>6</v>
      </c>
      <c r="L177" s="2">
        <v>49149.73</v>
      </c>
      <c r="M177">
        <v>0.05</v>
      </c>
      <c r="N177">
        <v>6290.4</v>
      </c>
    </row>
    <row r="178" spans="1:14" x14ac:dyDescent="0.35">
      <c r="A178" t="s">
        <v>532</v>
      </c>
      <c r="B178" s="1">
        <v>45722</v>
      </c>
      <c r="C178" t="s">
        <v>533</v>
      </c>
      <c r="D178" t="s">
        <v>217</v>
      </c>
      <c r="E178" t="s">
        <v>51</v>
      </c>
      <c r="F178" t="s">
        <v>99</v>
      </c>
      <c r="G178" t="s">
        <v>231</v>
      </c>
      <c r="H178" t="s">
        <v>29</v>
      </c>
      <c r="I178" t="s">
        <v>30</v>
      </c>
      <c r="J178" t="s">
        <v>182</v>
      </c>
      <c r="K178">
        <v>1</v>
      </c>
      <c r="L178" s="2">
        <v>35230.28</v>
      </c>
      <c r="M178">
        <v>0.15</v>
      </c>
      <c r="N178">
        <v>3728.92</v>
      </c>
    </row>
    <row r="179" spans="1:14" x14ac:dyDescent="0.35">
      <c r="A179" t="s">
        <v>534</v>
      </c>
      <c r="B179" s="1">
        <v>45722</v>
      </c>
      <c r="C179" t="s">
        <v>445</v>
      </c>
      <c r="D179" t="s">
        <v>361</v>
      </c>
      <c r="E179" t="s">
        <v>26</v>
      </c>
      <c r="F179" t="s">
        <v>44</v>
      </c>
      <c r="G179" t="s">
        <v>116</v>
      </c>
      <c r="H179" t="s">
        <v>20</v>
      </c>
      <c r="I179" t="s">
        <v>46</v>
      </c>
      <c r="J179" t="s">
        <v>203</v>
      </c>
      <c r="K179">
        <v>4</v>
      </c>
      <c r="L179" s="2">
        <v>19753.14</v>
      </c>
      <c r="M179">
        <v>0</v>
      </c>
      <c r="N179">
        <v>1852.25</v>
      </c>
    </row>
    <row r="180" spans="1:14" x14ac:dyDescent="0.35">
      <c r="A180" t="s">
        <v>535</v>
      </c>
      <c r="B180" s="1">
        <v>45722</v>
      </c>
      <c r="C180" t="s">
        <v>536</v>
      </c>
      <c r="D180" t="s">
        <v>213</v>
      </c>
      <c r="E180" t="s">
        <v>35</v>
      </c>
      <c r="F180" t="s">
        <v>70</v>
      </c>
      <c r="G180" t="s">
        <v>71</v>
      </c>
      <c r="H180" t="s">
        <v>29</v>
      </c>
      <c r="I180" t="s">
        <v>30</v>
      </c>
      <c r="J180" t="s">
        <v>112</v>
      </c>
      <c r="K180">
        <v>1</v>
      </c>
      <c r="L180" s="2">
        <v>26355.24</v>
      </c>
      <c r="M180">
        <v>0.05</v>
      </c>
      <c r="N180">
        <v>4386.84</v>
      </c>
    </row>
    <row r="181" spans="1:14" x14ac:dyDescent="0.35">
      <c r="A181" t="s">
        <v>537</v>
      </c>
      <c r="B181" s="1">
        <v>45722</v>
      </c>
      <c r="C181" t="s">
        <v>273</v>
      </c>
      <c r="D181" t="s">
        <v>158</v>
      </c>
      <c r="E181" t="s">
        <v>51</v>
      </c>
      <c r="F181" t="s">
        <v>63</v>
      </c>
      <c r="G181" t="s">
        <v>64</v>
      </c>
      <c r="H181" t="s">
        <v>29</v>
      </c>
      <c r="I181" t="s">
        <v>94</v>
      </c>
      <c r="J181" t="s">
        <v>95</v>
      </c>
      <c r="K181">
        <v>3</v>
      </c>
      <c r="L181" s="2">
        <v>171627.09</v>
      </c>
      <c r="M181">
        <v>0.05</v>
      </c>
      <c r="N181">
        <v>12751.23</v>
      </c>
    </row>
    <row r="182" spans="1:14" x14ac:dyDescent="0.35">
      <c r="A182" t="s">
        <v>538</v>
      </c>
      <c r="B182" s="1">
        <v>45723</v>
      </c>
      <c r="C182" t="s">
        <v>539</v>
      </c>
      <c r="D182" t="s">
        <v>540</v>
      </c>
      <c r="E182" t="s">
        <v>17</v>
      </c>
      <c r="F182" t="s">
        <v>18</v>
      </c>
      <c r="G182" t="s">
        <v>19</v>
      </c>
      <c r="H182" t="s">
        <v>29</v>
      </c>
      <c r="I182" t="s">
        <v>58</v>
      </c>
      <c r="J182" t="s">
        <v>88</v>
      </c>
      <c r="K182">
        <v>1</v>
      </c>
      <c r="L182" s="2">
        <v>2258.7199999999998</v>
      </c>
      <c r="M182">
        <v>0.05</v>
      </c>
      <c r="N182">
        <v>228.75</v>
      </c>
    </row>
    <row r="183" spans="1:14" x14ac:dyDescent="0.35">
      <c r="A183" t="s">
        <v>541</v>
      </c>
      <c r="B183" s="1">
        <v>45723</v>
      </c>
      <c r="C183" t="s">
        <v>331</v>
      </c>
      <c r="D183" t="s">
        <v>168</v>
      </c>
      <c r="E183" t="s">
        <v>35</v>
      </c>
      <c r="F183" t="s">
        <v>70</v>
      </c>
      <c r="G183" t="s">
        <v>71</v>
      </c>
      <c r="H183" t="s">
        <v>20</v>
      </c>
      <c r="I183" t="s">
        <v>21</v>
      </c>
      <c r="J183" t="s">
        <v>197</v>
      </c>
      <c r="K183">
        <v>5</v>
      </c>
      <c r="L183" s="2">
        <v>51642.65</v>
      </c>
      <c r="M183">
        <v>0.15</v>
      </c>
      <c r="N183">
        <v>7296.66</v>
      </c>
    </row>
    <row r="184" spans="1:14" x14ac:dyDescent="0.35">
      <c r="A184" t="s">
        <v>542</v>
      </c>
      <c r="B184" s="1">
        <v>45723</v>
      </c>
      <c r="C184" t="s">
        <v>292</v>
      </c>
      <c r="D184" t="s">
        <v>543</v>
      </c>
      <c r="E184" t="s">
        <v>26</v>
      </c>
      <c r="F184" t="s">
        <v>44</v>
      </c>
      <c r="G184" t="s">
        <v>45</v>
      </c>
      <c r="H184" t="s">
        <v>38</v>
      </c>
      <c r="I184" t="s">
        <v>78</v>
      </c>
      <c r="J184" t="s">
        <v>307</v>
      </c>
      <c r="K184">
        <v>3</v>
      </c>
      <c r="L184" s="2">
        <v>1332.71</v>
      </c>
      <c r="M184">
        <v>0.2</v>
      </c>
      <c r="N184">
        <v>206.75</v>
      </c>
    </row>
    <row r="185" spans="1:14" x14ac:dyDescent="0.35">
      <c r="A185" t="s">
        <v>544</v>
      </c>
      <c r="B185" s="1">
        <v>45723</v>
      </c>
      <c r="C185" t="s">
        <v>545</v>
      </c>
      <c r="D185" t="s">
        <v>209</v>
      </c>
      <c r="E185" t="s">
        <v>51</v>
      </c>
      <c r="F185" t="s">
        <v>52</v>
      </c>
      <c r="G185" t="s">
        <v>57</v>
      </c>
      <c r="H185" t="s">
        <v>29</v>
      </c>
      <c r="I185" t="s">
        <v>58</v>
      </c>
      <c r="J185" t="s">
        <v>88</v>
      </c>
      <c r="K185">
        <v>2</v>
      </c>
      <c r="L185" s="2">
        <v>4263.32</v>
      </c>
      <c r="M185">
        <v>0.1</v>
      </c>
      <c r="N185">
        <v>739.66</v>
      </c>
    </row>
    <row r="186" spans="1:14" x14ac:dyDescent="0.35">
      <c r="A186" t="s">
        <v>546</v>
      </c>
      <c r="B186" s="1">
        <v>45724</v>
      </c>
      <c r="C186" t="s">
        <v>547</v>
      </c>
      <c r="D186" t="s">
        <v>341</v>
      </c>
      <c r="E186" t="s">
        <v>17</v>
      </c>
      <c r="F186" t="s">
        <v>210</v>
      </c>
      <c r="G186" t="s">
        <v>211</v>
      </c>
      <c r="H186" t="s">
        <v>38</v>
      </c>
      <c r="I186" t="s">
        <v>218</v>
      </c>
      <c r="J186" t="s">
        <v>225</v>
      </c>
      <c r="K186">
        <v>5</v>
      </c>
      <c r="L186" s="2">
        <v>1334.39</v>
      </c>
      <c r="M186">
        <v>0</v>
      </c>
      <c r="N186">
        <v>113.88</v>
      </c>
    </row>
    <row r="187" spans="1:14" x14ac:dyDescent="0.35">
      <c r="A187" t="s">
        <v>548</v>
      </c>
      <c r="B187" s="1">
        <v>45725</v>
      </c>
      <c r="C187" t="s">
        <v>549</v>
      </c>
      <c r="D187" t="s">
        <v>284</v>
      </c>
      <c r="E187" t="s">
        <v>51</v>
      </c>
      <c r="F187" t="s">
        <v>99</v>
      </c>
      <c r="G187" t="s">
        <v>482</v>
      </c>
      <c r="H187" t="s">
        <v>20</v>
      </c>
      <c r="I187" t="s">
        <v>65</v>
      </c>
      <c r="J187" t="s">
        <v>66</v>
      </c>
      <c r="K187">
        <v>7</v>
      </c>
      <c r="L187" s="2">
        <v>58392.58</v>
      </c>
      <c r="M187">
        <v>0.05</v>
      </c>
      <c r="N187">
        <v>6918.75</v>
      </c>
    </row>
    <row r="188" spans="1:14" x14ac:dyDescent="0.35">
      <c r="A188" t="s">
        <v>550</v>
      </c>
      <c r="B188" s="1">
        <v>45725</v>
      </c>
      <c r="C188" t="s">
        <v>445</v>
      </c>
      <c r="D188" t="s">
        <v>551</v>
      </c>
      <c r="E188" t="s">
        <v>35</v>
      </c>
      <c r="F188" t="s">
        <v>110</v>
      </c>
      <c r="G188" t="s">
        <v>111</v>
      </c>
      <c r="H188" t="s">
        <v>38</v>
      </c>
      <c r="I188" t="s">
        <v>78</v>
      </c>
      <c r="J188" t="s">
        <v>79</v>
      </c>
      <c r="K188">
        <v>4</v>
      </c>
      <c r="L188" s="2">
        <v>1329.94</v>
      </c>
      <c r="M188">
        <v>0.1</v>
      </c>
      <c r="N188">
        <v>143.30000000000001</v>
      </c>
    </row>
    <row r="189" spans="1:14" x14ac:dyDescent="0.35">
      <c r="A189" t="s">
        <v>552</v>
      </c>
      <c r="B189" s="1">
        <v>45726</v>
      </c>
      <c r="C189" t="s">
        <v>553</v>
      </c>
      <c r="D189" t="s">
        <v>339</v>
      </c>
      <c r="E189" t="s">
        <v>26</v>
      </c>
      <c r="F189" t="s">
        <v>86</v>
      </c>
      <c r="G189" t="s">
        <v>87</v>
      </c>
      <c r="H189" t="s">
        <v>38</v>
      </c>
      <c r="I189" t="s">
        <v>218</v>
      </c>
      <c r="J189" t="s">
        <v>219</v>
      </c>
      <c r="K189">
        <v>3</v>
      </c>
      <c r="L189" s="2">
        <v>832.77</v>
      </c>
      <c r="M189">
        <v>0.1</v>
      </c>
      <c r="N189">
        <v>157.38</v>
      </c>
    </row>
    <row r="190" spans="1:14" x14ac:dyDescent="0.35">
      <c r="A190" t="s">
        <v>554</v>
      </c>
      <c r="B190" s="1">
        <v>45726</v>
      </c>
      <c r="C190" t="s">
        <v>253</v>
      </c>
      <c r="D190" t="s">
        <v>349</v>
      </c>
      <c r="E190" t="s">
        <v>26</v>
      </c>
      <c r="F190" t="s">
        <v>27</v>
      </c>
      <c r="G190" t="s">
        <v>249</v>
      </c>
      <c r="H190" t="s">
        <v>20</v>
      </c>
      <c r="I190" t="s">
        <v>21</v>
      </c>
      <c r="J190" t="s">
        <v>22</v>
      </c>
      <c r="K190">
        <v>7</v>
      </c>
      <c r="L190" s="2">
        <v>46390.37</v>
      </c>
      <c r="M190">
        <v>0</v>
      </c>
      <c r="N190">
        <v>10586.08</v>
      </c>
    </row>
    <row r="191" spans="1:14" x14ac:dyDescent="0.35">
      <c r="A191" t="s">
        <v>555</v>
      </c>
      <c r="B191" s="1">
        <v>45726</v>
      </c>
      <c r="C191" t="s">
        <v>399</v>
      </c>
      <c r="D191" t="s">
        <v>512</v>
      </c>
      <c r="E191" t="s">
        <v>26</v>
      </c>
      <c r="F191" t="s">
        <v>27</v>
      </c>
      <c r="G191" t="s">
        <v>249</v>
      </c>
      <c r="H191" t="s">
        <v>29</v>
      </c>
      <c r="I191" t="s">
        <v>58</v>
      </c>
      <c r="J191" t="s">
        <v>59</v>
      </c>
      <c r="K191">
        <v>3</v>
      </c>
      <c r="L191" s="2">
        <v>2333.71</v>
      </c>
      <c r="M191">
        <v>0.1</v>
      </c>
      <c r="N191">
        <v>267.55</v>
      </c>
    </row>
    <row r="192" spans="1:14" x14ac:dyDescent="0.35">
      <c r="A192" t="s">
        <v>556</v>
      </c>
      <c r="B192" s="1">
        <v>45727</v>
      </c>
      <c r="C192" t="s">
        <v>276</v>
      </c>
      <c r="D192" t="s">
        <v>260</v>
      </c>
      <c r="E192" t="s">
        <v>26</v>
      </c>
      <c r="F192" t="s">
        <v>27</v>
      </c>
      <c r="G192" t="s">
        <v>249</v>
      </c>
      <c r="H192" t="s">
        <v>20</v>
      </c>
      <c r="I192" t="s">
        <v>65</v>
      </c>
      <c r="J192" t="s">
        <v>142</v>
      </c>
      <c r="K192">
        <v>3</v>
      </c>
      <c r="L192" s="2">
        <v>62607.81</v>
      </c>
      <c r="M192">
        <v>0.05</v>
      </c>
      <c r="N192">
        <v>3981.61</v>
      </c>
    </row>
    <row r="193" spans="1:14" x14ac:dyDescent="0.35">
      <c r="A193" t="s">
        <v>557</v>
      </c>
      <c r="B193" s="1">
        <v>45727</v>
      </c>
      <c r="C193" t="s">
        <v>435</v>
      </c>
      <c r="D193" t="s">
        <v>155</v>
      </c>
      <c r="E193" t="s">
        <v>51</v>
      </c>
      <c r="F193" t="s">
        <v>99</v>
      </c>
      <c r="G193" t="s">
        <v>231</v>
      </c>
      <c r="H193" t="s">
        <v>38</v>
      </c>
      <c r="I193" t="s">
        <v>78</v>
      </c>
      <c r="J193" t="s">
        <v>79</v>
      </c>
      <c r="K193">
        <v>2</v>
      </c>
      <c r="L193" s="2">
        <v>606.01</v>
      </c>
      <c r="M193">
        <v>0.1</v>
      </c>
      <c r="N193">
        <v>120.42</v>
      </c>
    </row>
    <row r="194" spans="1:14" x14ac:dyDescent="0.35">
      <c r="A194" t="s">
        <v>558</v>
      </c>
      <c r="B194" s="1">
        <v>45728</v>
      </c>
      <c r="C194" t="s">
        <v>195</v>
      </c>
      <c r="D194" t="s">
        <v>495</v>
      </c>
      <c r="E194" t="s">
        <v>26</v>
      </c>
      <c r="F194" t="s">
        <v>27</v>
      </c>
      <c r="G194" t="s">
        <v>249</v>
      </c>
      <c r="H194" t="s">
        <v>29</v>
      </c>
      <c r="I194" t="s">
        <v>94</v>
      </c>
      <c r="J194" t="s">
        <v>95</v>
      </c>
      <c r="K194">
        <v>4</v>
      </c>
      <c r="L194" s="2">
        <v>214649.48</v>
      </c>
      <c r="M194">
        <v>0.15</v>
      </c>
      <c r="N194">
        <v>19028.34</v>
      </c>
    </row>
    <row r="195" spans="1:14" x14ac:dyDescent="0.35">
      <c r="A195" t="s">
        <v>559</v>
      </c>
      <c r="B195" s="1">
        <v>45729</v>
      </c>
      <c r="C195" t="s">
        <v>560</v>
      </c>
      <c r="D195" t="s">
        <v>561</v>
      </c>
      <c r="E195" t="s">
        <v>26</v>
      </c>
      <c r="F195" t="s">
        <v>121</v>
      </c>
      <c r="G195" t="s">
        <v>214</v>
      </c>
      <c r="H195" t="s">
        <v>29</v>
      </c>
      <c r="I195" t="s">
        <v>58</v>
      </c>
      <c r="J195" t="s">
        <v>59</v>
      </c>
      <c r="K195">
        <v>5</v>
      </c>
      <c r="L195" s="2">
        <v>3373.11</v>
      </c>
      <c r="M195">
        <v>0.2</v>
      </c>
      <c r="N195">
        <v>208.96</v>
      </c>
    </row>
    <row r="196" spans="1:14" x14ac:dyDescent="0.35">
      <c r="A196" t="s">
        <v>562</v>
      </c>
      <c r="B196" s="1">
        <v>45729</v>
      </c>
      <c r="C196" t="s">
        <v>236</v>
      </c>
      <c r="D196" t="s">
        <v>563</v>
      </c>
      <c r="E196" t="s">
        <v>26</v>
      </c>
      <c r="F196" t="s">
        <v>27</v>
      </c>
      <c r="G196" t="s">
        <v>28</v>
      </c>
      <c r="H196" t="s">
        <v>38</v>
      </c>
      <c r="I196" t="s">
        <v>39</v>
      </c>
      <c r="J196" t="s">
        <v>134</v>
      </c>
      <c r="K196">
        <v>5</v>
      </c>
      <c r="L196" s="2">
        <v>3632.03</v>
      </c>
      <c r="M196">
        <v>0.1</v>
      </c>
      <c r="N196">
        <v>361.82</v>
      </c>
    </row>
    <row r="197" spans="1:14" x14ac:dyDescent="0.35">
      <c r="A197" t="s">
        <v>564</v>
      </c>
      <c r="B197" s="1">
        <v>45730</v>
      </c>
      <c r="C197" t="s">
        <v>195</v>
      </c>
      <c r="D197" t="s">
        <v>565</v>
      </c>
      <c r="E197" t="s">
        <v>26</v>
      </c>
      <c r="F197" t="s">
        <v>86</v>
      </c>
      <c r="G197" t="s">
        <v>87</v>
      </c>
      <c r="H197" t="s">
        <v>38</v>
      </c>
      <c r="I197" t="s">
        <v>218</v>
      </c>
      <c r="J197" t="s">
        <v>221</v>
      </c>
      <c r="K197">
        <v>4</v>
      </c>
      <c r="L197" s="2">
        <v>638.77</v>
      </c>
      <c r="M197">
        <v>0.1</v>
      </c>
      <c r="N197">
        <v>97.9</v>
      </c>
    </row>
    <row r="198" spans="1:14" x14ac:dyDescent="0.35">
      <c r="A198" t="s">
        <v>566</v>
      </c>
      <c r="B198" s="1">
        <v>45730</v>
      </c>
      <c r="C198" t="s">
        <v>567</v>
      </c>
      <c r="D198" t="s">
        <v>161</v>
      </c>
      <c r="E198" t="s">
        <v>26</v>
      </c>
      <c r="F198" t="s">
        <v>44</v>
      </c>
      <c r="G198" t="s">
        <v>45</v>
      </c>
      <c r="H198" t="s">
        <v>38</v>
      </c>
      <c r="I198" t="s">
        <v>78</v>
      </c>
      <c r="J198" t="s">
        <v>307</v>
      </c>
      <c r="K198">
        <v>5</v>
      </c>
      <c r="L198" s="2">
        <v>2537.86</v>
      </c>
      <c r="M198">
        <v>0</v>
      </c>
      <c r="N198">
        <v>603.48</v>
      </c>
    </row>
    <row r="199" spans="1:14" x14ac:dyDescent="0.35">
      <c r="A199" t="s">
        <v>568</v>
      </c>
      <c r="B199" s="1">
        <v>45730</v>
      </c>
      <c r="C199" t="s">
        <v>526</v>
      </c>
      <c r="D199" t="s">
        <v>274</v>
      </c>
      <c r="E199" t="s">
        <v>51</v>
      </c>
      <c r="F199" t="s">
        <v>52</v>
      </c>
      <c r="G199" t="s">
        <v>57</v>
      </c>
      <c r="H199" t="s">
        <v>29</v>
      </c>
      <c r="I199" t="s">
        <v>30</v>
      </c>
      <c r="J199" t="s">
        <v>112</v>
      </c>
      <c r="K199">
        <v>2</v>
      </c>
      <c r="L199" s="2">
        <v>56527.97</v>
      </c>
      <c r="M199">
        <v>0.05</v>
      </c>
      <c r="N199">
        <v>8621.0499999999993</v>
      </c>
    </row>
    <row r="200" spans="1:14" x14ac:dyDescent="0.35">
      <c r="A200" t="s">
        <v>569</v>
      </c>
      <c r="B200" s="1">
        <v>45731</v>
      </c>
      <c r="C200" t="s">
        <v>570</v>
      </c>
      <c r="D200" t="s">
        <v>69</v>
      </c>
      <c r="E200" t="s">
        <v>51</v>
      </c>
      <c r="F200" t="s">
        <v>104</v>
      </c>
      <c r="G200" t="s">
        <v>206</v>
      </c>
      <c r="H200" t="s">
        <v>29</v>
      </c>
      <c r="I200" t="s">
        <v>58</v>
      </c>
      <c r="J200" t="s">
        <v>59</v>
      </c>
      <c r="K200">
        <v>1</v>
      </c>
      <c r="L200" s="2">
        <v>955.97</v>
      </c>
      <c r="M200">
        <v>0</v>
      </c>
      <c r="N200">
        <v>143.93</v>
      </c>
    </row>
    <row r="201" spans="1:14" x14ac:dyDescent="0.35">
      <c r="A201" t="s">
        <v>571</v>
      </c>
      <c r="B201" s="1">
        <v>45732</v>
      </c>
      <c r="C201" t="s">
        <v>506</v>
      </c>
      <c r="D201" t="s">
        <v>323</v>
      </c>
      <c r="E201" t="s">
        <v>17</v>
      </c>
      <c r="F201" t="s">
        <v>18</v>
      </c>
      <c r="G201" t="s">
        <v>19</v>
      </c>
      <c r="H201" t="s">
        <v>38</v>
      </c>
      <c r="I201" t="s">
        <v>78</v>
      </c>
      <c r="J201" t="s">
        <v>307</v>
      </c>
      <c r="K201">
        <v>4</v>
      </c>
      <c r="L201" s="2">
        <v>2205.27</v>
      </c>
      <c r="M201">
        <v>0.05</v>
      </c>
      <c r="N201">
        <v>276.33999999999997</v>
      </c>
    </row>
    <row r="202" spans="1:14" x14ac:dyDescent="0.35">
      <c r="A202" t="s">
        <v>572</v>
      </c>
      <c r="B202" s="1">
        <v>45732</v>
      </c>
      <c r="C202" t="s">
        <v>251</v>
      </c>
      <c r="D202" t="s">
        <v>287</v>
      </c>
      <c r="E202" t="s">
        <v>51</v>
      </c>
      <c r="F202" t="s">
        <v>63</v>
      </c>
      <c r="G202" t="s">
        <v>324</v>
      </c>
      <c r="H202" t="s">
        <v>38</v>
      </c>
      <c r="I202" t="s">
        <v>39</v>
      </c>
      <c r="J202" t="s">
        <v>134</v>
      </c>
      <c r="K202">
        <v>4</v>
      </c>
      <c r="L202" s="2">
        <v>2505.7399999999998</v>
      </c>
      <c r="M202">
        <v>0.1</v>
      </c>
      <c r="N202">
        <v>128.6</v>
      </c>
    </row>
    <row r="203" spans="1:14" x14ac:dyDescent="0.35">
      <c r="A203" t="s">
        <v>573</v>
      </c>
      <c r="B203" s="1">
        <v>45732</v>
      </c>
      <c r="C203" t="s">
        <v>356</v>
      </c>
      <c r="D203" t="s">
        <v>563</v>
      </c>
      <c r="E203" t="s">
        <v>51</v>
      </c>
      <c r="F203" t="s">
        <v>99</v>
      </c>
      <c r="G203" t="s">
        <v>482</v>
      </c>
      <c r="H203" t="s">
        <v>20</v>
      </c>
      <c r="I203" t="s">
        <v>46</v>
      </c>
      <c r="J203" t="s">
        <v>130</v>
      </c>
      <c r="K203">
        <v>3</v>
      </c>
      <c r="L203" s="2">
        <v>21797.040000000001</v>
      </c>
      <c r="M203">
        <v>0.2</v>
      </c>
      <c r="N203">
        <v>1084.96</v>
      </c>
    </row>
    <row r="204" spans="1:14" x14ac:dyDescent="0.35">
      <c r="A204" t="s">
        <v>574</v>
      </c>
      <c r="B204" s="1">
        <v>45732</v>
      </c>
      <c r="C204" t="s">
        <v>575</v>
      </c>
      <c r="D204" t="s">
        <v>34</v>
      </c>
      <c r="E204" t="s">
        <v>17</v>
      </c>
      <c r="F204" t="s">
        <v>210</v>
      </c>
      <c r="G204" t="s">
        <v>211</v>
      </c>
      <c r="H204" t="s">
        <v>38</v>
      </c>
      <c r="I204" t="s">
        <v>218</v>
      </c>
      <c r="J204" t="s">
        <v>225</v>
      </c>
      <c r="K204">
        <v>2</v>
      </c>
      <c r="L204" s="2">
        <v>480.88</v>
      </c>
      <c r="M204">
        <v>0</v>
      </c>
      <c r="N204">
        <v>104.66</v>
      </c>
    </row>
    <row r="205" spans="1:14" x14ac:dyDescent="0.35">
      <c r="A205" t="s">
        <v>576</v>
      </c>
      <c r="B205" s="1">
        <v>45733</v>
      </c>
      <c r="C205" t="s">
        <v>577</v>
      </c>
      <c r="D205" t="s">
        <v>578</v>
      </c>
      <c r="E205" t="s">
        <v>17</v>
      </c>
      <c r="F205" t="s">
        <v>18</v>
      </c>
      <c r="G205" t="s">
        <v>19</v>
      </c>
      <c r="H205" t="s">
        <v>29</v>
      </c>
      <c r="I205" t="s">
        <v>94</v>
      </c>
      <c r="J205" t="s">
        <v>95</v>
      </c>
      <c r="K205">
        <v>4</v>
      </c>
      <c r="L205" s="2">
        <v>209717.92</v>
      </c>
      <c r="M205">
        <v>0.2</v>
      </c>
      <c r="N205">
        <v>30662.98</v>
      </c>
    </row>
    <row r="206" spans="1:14" x14ac:dyDescent="0.35">
      <c r="A206" t="s">
        <v>579</v>
      </c>
      <c r="B206" s="1">
        <v>45733</v>
      </c>
      <c r="C206" t="s">
        <v>351</v>
      </c>
      <c r="D206" t="s">
        <v>580</v>
      </c>
      <c r="E206" t="s">
        <v>35</v>
      </c>
      <c r="F206" t="s">
        <v>70</v>
      </c>
      <c r="G206" t="s">
        <v>71</v>
      </c>
      <c r="H206" t="s">
        <v>20</v>
      </c>
      <c r="I206" t="s">
        <v>21</v>
      </c>
      <c r="J206" t="s">
        <v>72</v>
      </c>
      <c r="K206">
        <v>4</v>
      </c>
      <c r="L206" s="2">
        <v>10163.57</v>
      </c>
      <c r="M206">
        <v>0.1</v>
      </c>
      <c r="N206">
        <v>834.97</v>
      </c>
    </row>
    <row r="207" spans="1:14" x14ac:dyDescent="0.35">
      <c r="A207" t="s">
        <v>581</v>
      </c>
      <c r="B207" s="1">
        <v>45733</v>
      </c>
      <c r="C207" t="s">
        <v>582</v>
      </c>
      <c r="D207" t="s">
        <v>583</v>
      </c>
      <c r="E207" t="s">
        <v>51</v>
      </c>
      <c r="F207" t="s">
        <v>63</v>
      </c>
      <c r="G207" t="s">
        <v>64</v>
      </c>
      <c r="H207" t="s">
        <v>38</v>
      </c>
      <c r="I207" t="s">
        <v>39</v>
      </c>
      <c r="J207" t="s">
        <v>134</v>
      </c>
      <c r="K207">
        <v>1</v>
      </c>
      <c r="L207" s="2">
        <v>637.09</v>
      </c>
      <c r="M207">
        <v>0.1</v>
      </c>
      <c r="N207">
        <v>105.23</v>
      </c>
    </row>
    <row r="208" spans="1:14" x14ac:dyDescent="0.35">
      <c r="A208" t="s">
        <v>584</v>
      </c>
      <c r="B208" s="1">
        <v>45734</v>
      </c>
      <c r="C208" t="s">
        <v>585</v>
      </c>
      <c r="D208" t="s">
        <v>263</v>
      </c>
      <c r="E208" t="s">
        <v>17</v>
      </c>
      <c r="F208" t="s">
        <v>210</v>
      </c>
      <c r="G208" t="s">
        <v>211</v>
      </c>
      <c r="H208" t="s">
        <v>20</v>
      </c>
      <c r="I208" t="s">
        <v>65</v>
      </c>
      <c r="J208" t="s">
        <v>142</v>
      </c>
      <c r="K208">
        <v>1</v>
      </c>
      <c r="L208" s="2">
        <v>19746.349999999999</v>
      </c>
      <c r="M208">
        <v>0.05</v>
      </c>
      <c r="N208">
        <v>3349</v>
      </c>
    </row>
    <row r="209" spans="1:14" x14ac:dyDescent="0.35">
      <c r="A209" t="s">
        <v>586</v>
      </c>
      <c r="B209" s="1">
        <v>45734</v>
      </c>
      <c r="C209" t="s">
        <v>587</v>
      </c>
      <c r="D209" t="s">
        <v>394</v>
      </c>
      <c r="E209" t="s">
        <v>17</v>
      </c>
      <c r="F209" t="s">
        <v>185</v>
      </c>
      <c r="G209" t="s">
        <v>528</v>
      </c>
      <c r="H209" t="s">
        <v>29</v>
      </c>
      <c r="I209" t="s">
        <v>58</v>
      </c>
      <c r="J209" t="s">
        <v>59</v>
      </c>
      <c r="K209">
        <v>6</v>
      </c>
      <c r="L209" s="2">
        <v>4589.49</v>
      </c>
      <c r="M209">
        <v>0.2</v>
      </c>
      <c r="N209">
        <v>767.43</v>
      </c>
    </row>
    <row r="210" spans="1:14" x14ac:dyDescent="0.35">
      <c r="A210" t="s">
        <v>588</v>
      </c>
      <c r="B210" s="1">
        <v>45734</v>
      </c>
      <c r="C210" t="s">
        <v>589</v>
      </c>
      <c r="D210" t="s">
        <v>417</v>
      </c>
      <c r="E210" t="s">
        <v>35</v>
      </c>
      <c r="F210" t="s">
        <v>110</v>
      </c>
      <c r="G210" t="s">
        <v>111</v>
      </c>
      <c r="H210" t="s">
        <v>20</v>
      </c>
      <c r="I210" t="s">
        <v>46</v>
      </c>
      <c r="J210" t="s">
        <v>47</v>
      </c>
      <c r="K210">
        <v>7</v>
      </c>
      <c r="L210" s="2">
        <v>40939.24</v>
      </c>
      <c r="M210">
        <v>0.1</v>
      </c>
      <c r="N210">
        <v>8153.63</v>
      </c>
    </row>
    <row r="211" spans="1:14" x14ac:dyDescent="0.35">
      <c r="A211" t="s">
        <v>590</v>
      </c>
      <c r="B211" s="1">
        <v>45735</v>
      </c>
      <c r="C211" t="s">
        <v>303</v>
      </c>
      <c r="D211" t="s">
        <v>591</v>
      </c>
      <c r="E211" t="s">
        <v>17</v>
      </c>
      <c r="F211" t="s">
        <v>185</v>
      </c>
      <c r="G211" t="s">
        <v>528</v>
      </c>
      <c r="H211" t="s">
        <v>20</v>
      </c>
      <c r="I211" t="s">
        <v>65</v>
      </c>
      <c r="J211" t="s">
        <v>117</v>
      </c>
      <c r="K211">
        <v>3</v>
      </c>
      <c r="L211" s="2">
        <v>14058.29</v>
      </c>
      <c r="M211">
        <v>0.1</v>
      </c>
      <c r="N211">
        <v>2580.1999999999998</v>
      </c>
    </row>
    <row r="212" spans="1:14" x14ac:dyDescent="0.35">
      <c r="A212" t="s">
        <v>592</v>
      </c>
      <c r="B212" s="1">
        <v>45736</v>
      </c>
      <c r="C212" t="s">
        <v>90</v>
      </c>
      <c r="D212" t="s">
        <v>200</v>
      </c>
      <c r="E212" t="s">
        <v>17</v>
      </c>
      <c r="F212" t="s">
        <v>185</v>
      </c>
      <c r="G212" t="s">
        <v>186</v>
      </c>
      <c r="H212" t="s">
        <v>29</v>
      </c>
      <c r="I212" t="s">
        <v>94</v>
      </c>
      <c r="J212" t="s">
        <v>138</v>
      </c>
      <c r="K212">
        <v>6</v>
      </c>
      <c r="L212" s="2">
        <v>249329.11</v>
      </c>
      <c r="M212">
        <v>0.1</v>
      </c>
      <c r="N212">
        <v>36459.58</v>
      </c>
    </row>
    <row r="213" spans="1:14" x14ac:dyDescent="0.35">
      <c r="A213" t="s">
        <v>593</v>
      </c>
      <c r="B213" s="1">
        <v>45736</v>
      </c>
      <c r="C213" t="s">
        <v>283</v>
      </c>
      <c r="D213" t="s">
        <v>424</v>
      </c>
      <c r="E213" t="s">
        <v>51</v>
      </c>
      <c r="F213" t="s">
        <v>104</v>
      </c>
      <c r="G213" t="s">
        <v>105</v>
      </c>
      <c r="H213" t="s">
        <v>29</v>
      </c>
      <c r="I213" t="s">
        <v>30</v>
      </c>
      <c r="J213" t="s">
        <v>31</v>
      </c>
      <c r="K213">
        <v>7</v>
      </c>
      <c r="L213" s="2">
        <v>118076.7</v>
      </c>
      <c r="M213">
        <v>0.05</v>
      </c>
      <c r="N213">
        <v>24787.08</v>
      </c>
    </row>
    <row r="214" spans="1:14" x14ac:dyDescent="0.35">
      <c r="A214" t="s">
        <v>594</v>
      </c>
      <c r="B214" s="1">
        <v>45736</v>
      </c>
      <c r="C214" t="s">
        <v>595</v>
      </c>
      <c r="D214" t="s">
        <v>450</v>
      </c>
      <c r="E214" t="s">
        <v>17</v>
      </c>
      <c r="F214" t="s">
        <v>185</v>
      </c>
      <c r="G214" t="s">
        <v>186</v>
      </c>
      <c r="H214" t="s">
        <v>38</v>
      </c>
      <c r="I214" t="s">
        <v>39</v>
      </c>
      <c r="J214" t="s">
        <v>134</v>
      </c>
      <c r="K214">
        <v>4</v>
      </c>
      <c r="L214" s="2">
        <v>3030.49</v>
      </c>
      <c r="M214">
        <v>0.05</v>
      </c>
      <c r="N214">
        <v>207.97</v>
      </c>
    </row>
    <row r="215" spans="1:14" x14ac:dyDescent="0.35">
      <c r="A215" t="s">
        <v>596</v>
      </c>
      <c r="B215" s="1">
        <v>45736</v>
      </c>
      <c r="C215" t="s">
        <v>597</v>
      </c>
      <c r="D215" t="s">
        <v>598</v>
      </c>
      <c r="E215" t="s">
        <v>51</v>
      </c>
      <c r="F215" t="s">
        <v>63</v>
      </c>
      <c r="G215" t="s">
        <v>64</v>
      </c>
      <c r="H215" t="s">
        <v>29</v>
      </c>
      <c r="I215" t="s">
        <v>30</v>
      </c>
      <c r="J215" t="s">
        <v>112</v>
      </c>
      <c r="K215">
        <v>6</v>
      </c>
      <c r="L215" s="2">
        <v>158174.67000000001</v>
      </c>
      <c r="M215">
        <v>0.05</v>
      </c>
      <c r="N215">
        <v>27143.66</v>
      </c>
    </row>
    <row r="216" spans="1:14" x14ac:dyDescent="0.35">
      <c r="A216" t="s">
        <v>599</v>
      </c>
      <c r="B216" s="1">
        <v>45737</v>
      </c>
      <c r="C216" t="s">
        <v>600</v>
      </c>
      <c r="D216" t="s">
        <v>601</v>
      </c>
      <c r="E216" t="s">
        <v>51</v>
      </c>
      <c r="F216" t="s">
        <v>52</v>
      </c>
      <c r="G216" t="s">
        <v>57</v>
      </c>
      <c r="H216" t="s">
        <v>29</v>
      </c>
      <c r="I216" t="s">
        <v>58</v>
      </c>
      <c r="J216" t="s">
        <v>59</v>
      </c>
      <c r="K216">
        <v>4</v>
      </c>
      <c r="L216" s="2">
        <v>3408.23</v>
      </c>
      <c r="M216">
        <v>0.1</v>
      </c>
      <c r="N216">
        <v>392.59</v>
      </c>
    </row>
    <row r="217" spans="1:14" x14ac:dyDescent="0.35">
      <c r="A217" t="s">
        <v>602</v>
      </c>
      <c r="B217" s="1">
        <v>45737</v>
      </c>
      <c r="C217" t="s">
        <v>603</v>
      </c>
      <c r="D217" t="s">
        <v>375</v>
      </c>
      <c r="E217" t="s">
        <v>35</v>
      </c>
      <c r="F217" t="s">
        <v>110</v>
      </c>
      <c r="G217" t="s">
        <v>111</v>
      </c>
      <c r="H217" t="s">
        <v>29</v>
      </c>
      <c r="I217" t="s">
        <v>58</v>
      </c>
      <c r="J217" t="s">
        <v>59</v>
      </c>
      <c r="K217">
        <v>2</v>
      </c>
      <c r="L217" s="2">
        <v>1606.09</v>
      </c>
      <c r="M217">
        <v>0.15</v>
      </c>
      <c r="N217">
        <v>331.78</v>
      </c>
    </row>
    <row r="218" spans="1:14" x14ac:dyDescent="0.35">
      <c r="A218" t="s">
        <v>604</v>
      </c>
      <c r="B218" s="1">
        <v>45738</v>
      </c>
      <c r="C218" t="s">
        <v>374</v>
      </c>
      <c r="D218" t="s">
        <v>43</v>
      </c>
      <c r="E218" t="s">
        <v>35</v>
      </c>
      <c r="F218" t="s">
        <v>36</v>
      </c>
      <c r="G218" t="s">
        <v>255</v>
      </c>
      <c r="H218" t="s">
        <v>20</v>
      </c>
      <c r="I218" t="s">
        <v>65</v>
      </c>
      <c r="J218" t="s">
        <v>117</v>
      </c>
      <c r="K218">
        <v>4</v>
      </c>
      <c r="L218" s="2">
        <v>23670.41</v>
      </c>
      <c r="M218">
        <v>0</v>
      </c>
      <c r="N218">
        <v>4742.5200000000004</v>
      </c>
    </row>
    <row r="219" spans="1:14" x14ac:dyDescent="0.35">
      <c r="A219" t="s">
        <v>605</v>
      </c>
      <c r="B219" s="1">
        <v>45738</v>
      </c>
      <c r="C219" t="s">
        <v>606</v>
      </c>
      <c r="D219" t="s">
        <v>607</v>
      </c>
      <c r="E219" t="s">
        <v>51</v>
      </c>
      <c r="F219" t="s">
        <v>99</v>
      </c>
      <c r="G219" t="s">
        <v>482</v>
      </c>
      <c r="H219" t="s">
        <v>20</v>
      </c>
      <c r="I219" t="s">
        <v>21</v>
      </c>
      <c r="J219" t="s">
        <v>72</v>
      </c>
      <c r="K219">
        <v>7</v>
      </c>
      <c r="L219" s="2">
        <v>17610.43</v>
      </c>
      <c r="M219">
        <v>0.15</v>
      </c>
      <c r="N219">
        <v>581.91</v>
      </c>
    </row>
    <row r="220" spans="1:14" x14ac:dyDescent="0.35">
      <c r="A220" t="s">
        <v>608</v>
      </c>
      <c r="B220" s="1">
        <v>45738</v>
      </c>
      <c r="C220" t="s">
        <v>136</v>
      </c>
      <c r="D220" t="s">
        <v>609</v>
      </c>
      <c r="E220" t="s">
        <v>35</v>
      </c>
      <c r="F220" t="s">
        <v>110</v>
      </c>
      <c r="G220" t="s">
        <v>111</v>
      </c>
      <c r="H220" t="s">
        <v>38</v>
      </c>
      <c r="I220" t="s">
        <v>218</v>
      </c>
      <c r="J220" t="s">
        <v>225</v>
      </c>
      <c r="K220">
        <v>1</v>
      </c>
      <c r="L220" s="2">
        <v>207.28</v>
      </c>
      <c r="M220">
        <v>0.2</v>
      </c>
      <c r="N220">
        <v>38.57</v>
      </c>
    </row>
    <row r="221" spans="1:14" x14ac:dyDescent="0.35">
      <c r="A221" t="s">
        <v>610</v>
      </c>
      <c r="B221" s="1">
        <v>45740</v>
      </c>
      <c r="C221" t="s">
        <v>611</v>
      </c>
      <c r="D221" t="s">
        <v>598</v>
      </c>
      <c r="E221" t="s">
        <v>26</v>
      </c>
      <c r="F221" t="s">
        <v>44</v>
      </c>
      <c r="G221" t="s">
        <v>116</v>
      </c>
      <c r="H221" t="s">
        <v>38</v>
      </c>
      <c r="I221" t="s">
        <v>39</v>
      </c>
      <c r="J221" t="s">
        <v>40</v>
      </c>
      <c r="K221">
        <v>3</v>
      </c>
      <c r="L221" s="2">
        <v>1270.72</v>
      </c>
      <c r="M221">
        <v>0.15</v>
      </c>
      <c r="N221">
        <v>52.71</v>
      </c>
    </row>
    <row r="222" spans="1:14" x14ac:dyDescent="0.35">
      <c r="A222" t="s">
        <v>612</v>
      </c>
      <c r="B222" s="1">
        <v>45740</v>
      </c>
      <c r="C222" t="s">
        <v>81</v>
      </c>
      <c r="D222" t="s">
        <v>377</v>
      </c>
      <c r="E222" t="s">
        <v>26</v>
      </c>
      <c r="F222" t="s">
        <v>44</v>
      </c>
      <c r="G222" t="s">
        <v>45</v>
      </c>
      <c r="H222" t="s">
        <v>29</v>
      </c>
      <c r="I222" t="s">
        <v>94</v>
      </c>
      <c r="J222" t="s">
        <v>106</v>
      </c>
      <c r="K222">
        <v>3</v>
      </c>
      <c r="L222" s="2">
        <v>181720.98</v>
      </c>
      <c r="M222">
        <v>0.2</v>
      </c>
      <c r="N222">
        <v>34359.86</v>
      </c>
    </row>
    <row r="223" spans="1:14" x14ac:dyDescent="0.35">
      <c r="A223" t="s">
        <v>613</v>
      </c>
      <c r="B223" s="1">
        <v>45740</v>
      </c>
      <c r="C223" t="s">
        <v>597</v>
      </c>
      <c r="D223" t="s">
        <v>614</v>
      </c>
      <c r="E223" t="s">
        <v>35</v>
      </c>
      <c r="F223" t="s">
        <v>36</v>
      </c>
      <c r="G223" t="s">
        <v>37</v>
      </c>
      <c r="H223" t="s">
        <v>20</v>
      </c>
      <c r="I223" t="s">
        <v>21</v>
      </c>
      <c r="J223" t="s">
        <v>22</v>
      </c>
      <c r="K223">
        <v>3</v>
      </c>
      <c r="L223" s="2">
        <v>17414.490000000002</v>
      </c>
      <c r="M223">
        <v>0.1</v>
      </c>
      <c r="N223">
        <v>3733.05</v>
      </c>
    </row>
    <row r="224" spans="1:14" x14ac:dyDescent="0.35">
      <c r="A224" t="s">
        <v>615</v>
      </c>
      <c r="B224" s="1">
        <v>45740</v>
      </c>
      <c r="C224" t="s">
        <v>295</v>
      </c>
      <c r="D224" t="s">
        <v>616</v>
      </c>
      <c r="E224" t="s">
        <v>51</v>
      </c>
      <c r="F224" t="s">
        <v>99</v>
      </c>
      <c r="G224" t="s">
        <v>100</v>
      </c>
      <c r="H224" t="s">
        <v>20</v>
      </c>
      <c r="I224" t="s">
        <v>46</v>
      </c>
      <c r="J224" t="s">
        <v>203</v>
      </c>
      <c r="K224">
        <v>7</v>
      </c>
      <c r="L224" s="2">
        <v>28591.9</v>
      </c>
      <c r="M224">
        <v>0.2</v>
      </c>
      <c r="N224">
        <v>2812.09</v>
      </c>
    </row>
    <row r="225" spans="1:14" x14ac:dyDescent="0.35">
      <c r="A225" t="s">
        <v>617</v>
      </c>
      <c r="B225" s="1">
        <v>45741</v>
      </c>
      <c r="C225" t="s">
        <v>618</v>
      </c>
      <c r="D225" t="s">
        <v>619</v>
      </c>
      <c r="E225" t="s">
        <v>17</v>
      </c>
      <c r="F225" t="s">
        <v>185</v>
      </c>
      <c r="G225" t="s">
        <v>528</v>
      </c>
      <c r="H225" t="s">
        <v>29</v>
      </c>
      <c r="I225" t="s">
        <v>30</v>
      </c>
      <c r="J225" t="s">
        <v>112</v>
      </c>
      <c r="K225">
        <v>3</v>
      </c>
      <c r="L225" s="2">
        <v>71520.570000000007</v>
      </c>
      <c r="M225">
        <v>0.2</v>
      </c>
      <c r="N225">
        <v>3070.16</v>
      </c>
    </row>
    <row r="226" spans="1:14" x14ac:dyDescent="0.35">
      <c r="A226" t="s">
        <v>620</v>
      </c>
      <c r="B226" s="1">
        <v>45741</v>
      </c>
      <c r="C226" t="s">
        <v>309</v>
      </c>
      <c r="D226" t="s">
        <v>495</v>
      </c>
      <c r="E226" t="s">
        <v>17</v>
      </c>
      <c r="F226" t="s">
        <v>210</v>
      </c>
      <c r="G226" t="s">
        <v>211</v>
      </c>
      <c r="H226" t="s">
        <v>38</v>
      </c>
      <c r="I226" t="s">
        <v>39</v>
      </c>
      <c r="J226" t="s">
        <v>40</v>
      </c>
      <c r="K226">
        <v>4</v>
      </c>
      <c r="L226" s="2">
        <v>1713.2</v>
      </c>
      <c r="M226">
        <v>0.05</v>
      </c>
      <c r="N226">
        <v>116.05</v>
      </c>
    </row>
    <row r="227" spans="1:14" x14ac:dyDescent="0.35">
      <c r="A227" t="s">
        <v>621</v>
      </c>
      <c r="B227" s="1">
        <v>45741</v>
      </c>
      <c r="C227" t="s">
        <v>477</v>
      </c>
      <c r="D227" t="s">
        <v>133</v>
      </c>
      <c r="E227" t="s">
        <v>17</v>
      </c>
      <c r="F227" t="s">
        <v>185</v>
      </c>
      <c r="G227" t="s">
        <v>186</v>
      </c>
      <c r="H227" t="s">
        <v>20</v>
      </c>
      <c r="I227" t="s">
        <v>46</v>
      </c>
      <c r="J227" t="s">
        <v>47</v>
      </c>
      <c r="K227">
        <v>4</v>
      </c>
      <c r="L227" s="2">
        <v>22672.81</v>
      </c>
      <c r="M227">
        <v>0.15</v>
      </c>
      <c r="N227">
        <v>4053.07</v>
      </c>
    </row>
    <row r="228" spans="1:14" x14ac:dyDescent="0.35">
      <c r="A228" t="s">
        <v>622</v>
      </c>
      <c r="B228" s="1">
        <v>45742</v>
      </c>
      <c r="C228" t="s">
        <v>623</v>
      </c>
      <c r="D228" t="s">
        <v>155</v>
      </c>
      <c r="E228" t="s">
        <v>17</v>
      </c>
      <c r="F228" t="s">
        <v>185</v>
      </c>
      <c r="G228" t="s">
        <v>186</v>
      </c>
      <c r="H228" t="s">
        <v>29</v>
      </c>
      <c r="I228" t="s">
        <v>30</v>
      </c>
      <c r="J228" t="s">
        <v>182</v>
      </c>
      <c r="K228">
        <v>1</v>
      </c>
      <c r="L228" s="2">
        <v>42001.33</v>
      </c>
      <c r="M228">
        <v>0</v>
      </c>
      <c r="N228">
        <v>8874.0300000000007</v>
      </c>
    </row>
    <row r="229" spans="1:14" x14ac:dyDescent="0.35">
      <c r="A229" t="s">
        <v>624</v>
      </c>
      <c r="B229" s="1">
        <v>45743</v>
      </c>
      <c r="C229" t="s">
        <v>625</v>
      </c>
      <c r="D229" t="s">
        <v>296</v>
      </c>
      <c r="E229" t="s">
        <v>35</v>
      </c>
      <c r="F229" t="s">
        <v>70</v>
      </c>
      <c r="G229" t="s">
        <v>71</v>
      </c>
      <c r="H229" t="s">
        <v>38</v>
      </c>
      <c r="I229" t="s">
        <v>218</v>
      </c>
      <c r="J229" t="s">
        <v>221</v>
      </c>
      <c r="K229">
        <v>5</v>
      </c>
      <c r="L229" s="2">
        <v>935.13</v>
      </c>
      <c r="M229">
        <v>0</v>
      </c>
      <c r="N229">
        <v>61.75</v>
      </c>
    </row>
    <row r="230" spans="1:14" x14ac:dyDescent="0.35">
      <c r="A230" t="s">
        <v>626</v>
      </c>
      <c r="B230" s="1">
        <v>45743</v>
      </c>
      <c r="C230" t="s">
        <v>173</v>
      </c>
      <c r="D230" t="s">
        <v>329</v>
      </c>
      <c r="E230" t="s">
        <v>51</v>
      </c>
      <c r="F230" t="s">
        <v>99</v>
      </c>
      <c r="G230" t="s">
        <v>231</v>
      </c>
      <c r="H230" t="s">
        <v>38</v>
      </c>
      <c r="I230" t="s">
        <v>39</v>
      </c>
      <c r="J230" t="s">
        <v>258</v>
      </c>
      <c r="K230">
        <v>4</v>
      </c>
      <c r="L230" s="2">
        <v>2405.31</v>
      </c>
      <c r="M230">
        <v>0.05</v>
      </c>
      <c r="N230">
        <v>221.79</v>
      </c>
    </row>
    <row r="231" spans="1:14" x14ac:dyDescent="0.35">
      <c r="A231" t="s">
        <v>627</v>
      </c>
      <c r="B231" s="1">
        <v>45743</v>
      </c>
      <c r="C231" t="s">
        <v>405</v>
      </c>
      <c r="D231" t="s">
        <v>439</v>
      </c>
      <c r="E231" t="s">
        <v>17</v>
      </c>
      <c r="F231" t="s">
        <v>210</v>
      </c>
      <c r="G231" t="s">
        <v>211</v>
      </c>
      <c r="H231" t="s">
        <v>29</v>
      </c>
      <c r="I231" t="s">
        <v>58</v>
      </c>
      <c r="J231" t="s">
        <v>300</v>
      </c>
      <c r="K231">
        <v>3</v>
      </c>
      <c r="L231" s="2">
        <v>4197.76</v>
      </c>
      <c r="M231">
        <v>0</v>
      </c>
      <c r="N231">
        <v>487.76</v>
      </c>
    </row>
    <row r="232" spans="1:14" x14ac:dyDescent="0.35">
      <c r="A232" t="s">
        <v>628</v>
      </c>
      <c r="B232" s="1">
        <v>45743</v>
      </c>
      <c r="C232" t="s">
        <v>629</v>
      </c>
      <c r="D232" t="s">
        <v>630</v>
      </c>
      <c r="E232" t="s">
        <v>26</v>
      </c>
      <c r="F232" t="s">
        <v>86</v>
      </c>
      <c r="G232" t="s">
        <v>87</v>
      </c>
      <c r="H232" t="s">
        <v>20</v>
      </c>
      <c r="I232" t="s">
        <v>21</v>
      </c>
      <c r="J232" t="s">
        <v>72</v>
      </c>
      <c r="K232">
        <v>5</v>
      </c>
      <c r="L232" s="2">
        <v>15153.52</v>
      </c>
      <c r="M232">
        <v>0</v>
      </c>
      <c r="N232">
        <v>3202.36</v>
      </c>
    </row>
    <row r="233" spans="1:14" x14ac:dyDescent="0.35">
      <c r="A233" t="s">
        <v>631</v>
      </c>
      <c r="B233" s="1">
        <v>45743</v>
      </c>
      <c r="C233" t="s">
        <v>632</v>
      </c>
      <c r="D233" t="s">
        <v>633</v>
      </c>
      <c r="E233" t="s">
        <v>26</v>
      </c>
      <c r="F233" t="s">
        <v>44</v>
      </c>
      <c r="G233" t="s">
        <v>116</v>
      </c>
      <c r="H233" t="s">
        <v>38</v>
      </c>
      <c r="I233" t="s">
        <v>218</v>
      </c>
      <c r="J233" t="s">
        <v>219</v>
      </c>
      <c r="K233">
        <v>6</v>
      </c>
      <c r="L233" s="2">
        <v>1487.7</v>
      </c>
      <c r="M233">
        <v>0.2</v>
      </c>
      <c r="N233">
        <v>261.10000000000002</v>
      </c>
    </row>
    <row r="234" spans="1:14" x14ac:dyDescent="0.35">
      <c r="A234" t="s">
        <v>634</v>
      </c>
      <c r="B234" s="1">
        <v>45744</v>
      </c>
      <c r="C234" t="s">
        <v>539</v>
      </c>
      <c r="D234" t="s">
        <v>25</v>
      </c>
      <c r="E234" t="s">
        <v>35</v>
      </c>
      <c r="F234" t="s">
        <v>128</v>
      </c>
      <c r="G234" t="s">
        <v>354</v>
      </c>
      <c r="H234" t="s">
        <v>38</v>
      </c>
      <c r="I234" t="s">
        <v>39</v>
      </c>
      <c r="J234" t="s">
        <v>258</v>
      </c>
      <c r="K234">
        <v>1</v>
      </c>
      <c r="L234" s="2">
        <v>522.22</v>
      </c>
      <c r="M234">
        <v>0.15</v>
      </c>
      <c r="N234">
        <v>71.53</v>
      </c>
    </row>
    <row r="235" spans="1:14" x14ac:dyDescent="0.35">
      <c r="A235" t="s">
        <v>635</v>
      </c>
      <c r="B235" s="1">
        <v>45744</v>
      </c>
      <c r="C235" t="s">
        <v>160</v>
      </c>
      <c r="D235" t="s">
        <v>446</v>
      </c>
      <c r="E235" t="s">
        <v>26</v>
      </c>
      <c r="F235" t="s">
        <v>121</v>
      </c>
      <c r="G235" t="s">
        <v>122</v>
      </c>
      <c r="H235" t="s">
        <v>29</v>
      </c>
      <c r="I235" t="s">
        <v>30</v>
      </c>
      <c r="J235" t="s">
        <v>112</v>
      </c>
      <c r="K235">
        <v>5</v>
      </c>
      <c r="L235" s="2">
        <v>137530.14000000001</v>
      </c>
      <c r="M235">
        <v>0.05</v>
      </c>
      <c r="N235">
        <v>16603.14</v>
      </c>
    </row>
    <row r="236" spans="1:14" x14ac:dyDescent="0.35">
      <c r="A236" t="s">
        <v>636</v>
      </c>
      <c r="B236" s="1">
        <v>45744</v>
      </c>
      <c r="C236" t="s">
        <v>637</v>
      </c>
      <c r="D236" t="s">
        <v>368</v>
      </c>
      <c r="E236" t="s">
        <v>51</v>
      </c>
      <c r="F236" t="s">
        <v>52</v>
      </c>
      <c r="G236" t="s">
        <v>57</v>
      </c>
      <c r="H236" t="s">
        <v>29</v>
      </c>
      <c r="I236" t="s">
        <v>58</v>
      </c>
      <c r="J236" t="s">
        <v>88</v>
      </c>
      <c r="K236">
        <v>7</v>
      </c>
      <c r="L236" s="2">
        <v>18087.810000000001</v>
      </c>
      <c r="M236">
        <v>0</v>
      </c>
      <c r="N236">
        <v>2822.97</v>
      </c>
    </row>
    <row r="237" spans="1:14" x14ac:dyDescent="0.35">
      <c r="A237" t="s">
        <v>638</v>
      </c>
      <c r="B237" s="1">
        <v>45744</v>
      </c>
      <c r="C237" t="s">
        <v>306</v>
      </c>
      <c r="D237" t="s">
        <v>230</v>
      </c>
      <c r="E237" t="s">
        <v>17</v>
      </c>
      <c r="F237" t="s">
        <v>76</v>
      </c>
      <c r="G237" t="s">
        <v>77</v>
      </c>
      <c r="H237" t="s">
        <v>20</v>
      </c>
      <c r="I237" t="s">
        <v>21</v>
      </c>
      <c r="J237" t="s">
        <v>22</v>
      </c>
      <c r="K237">
        <v>5</v>
      </c>
      <c r="L237" s="2">
        <v>34868.69</v>
      </c>
      <c r="M237">
        <v>0</v>
      </c>
      <c r="N237">
        <v>6283.33</v>
      </c>
    </row>
    <row r="238" spans="1:14" x14ac:dyDescent="0.35">
      <c r="A238" t="s">
        <v>639</v>
      </c>
      <c r="B238" s="1">
        <v>45745</v>
      </c>
      <c r="C238" t="s">
        <v>640</v>
      </c>
      <c r="D238" t="s">
        <v>412</v>
      </c>
      <c r="E238" t="s">
        <v>51</v>
      </c>
      <c r="F238" t="s">
        <v>52</v>
      </c>
      <c r="G238" t="s">
        <v>57</v>
      </c>
      <c r="H238" t="s">
        <v>29</v>
      </c>
      <c r="I238" t="s">
        <v>30</v>
      </c>
      <c r="J238" t="s">
        <v>112</v>
      </c>
      <c r="K238">
        <v>4</v>
      </c>
      <c r="L238" s="2">
        <v>105911.89</v>
      </c>
      <c r="M238">
        <v>0.1</v>
      </c>
      <c r="N238">
        <v>6668.61</v>
      </c>
    </row>
    <row r="239" spans="1:14" x14ac:dyDescent="0.35">
      <c r="A239" t="s">
        <v>641</v>
      </c>
      <c r="B239" s="1">
        <v>45746</v>
      </c>
      <c r="C239" t="s">
        <v>154</v>
      </c>
      <c r="D239" t="s">
        <v>642</v>
      </c>
      <c r="E239" t="s">
        <v>35</v>
      </c>
      <c r="F239" t="s">
        <v>36</v>
      </c>
      <c r="G239" t="s">
        <v>255</v>
      </c>
      <c r="H239" t="s">
        <v>38</v>
      </c>
      <c r="I239" t="s">
        <v>218</v>
      </c>
      <c r="J239" t="s">
        <v>219</v>
      </c>
      <c r="K239">
        <v>3</v>
      </c>
      <c r="L239" s="2">
        <v>799.77</v>
      </c>
      <c r="M239">
        <v>0.15</v>
      </c>
      <c r="N239">
        <v>66.73</v>
      </c>
    </row>
    <row r="240" spans="1:14" x14ac:dyDescent="0.35">
      <c r="A240" t="s">
        <v>643</v>
      </c>
      <c r="B240" s="1">
        <v>45746</v>
      </c>
      <c r="C240" t="s">
        <v>74</v>
      </c>
      <c r="D240" t="s">
        <v>644</v>
      </c>
      <c r="E240" t="s">
        <v>26</v>
      </c>
      <c r="F240" t="s">
        <v>27</v>
      </c>
      <c r="G240" t="s">
        <v>28</v>
      </c>
      <c r="H240" t="s">
        <v>29</v>
      </c>
      <c r="I240" t="s">
        <v>30</v>
      </c>
      <c r="J240" t="s">
        <v>31</v>
      </c>
      <c r="K240">
        <v>6</v>
      </c>
      <c r="L240" s="2">
        <v>101959.28</v>
      </c>
      <c r="M240">
        <v>0.05</v>
      </c>
      <c r="N240">
        <v>17467.689999999999</v>
      </c>
    </row>
    <row r="241" spans="1:14" x14ac:dyDescent="0.35">
      <c r="A241" t="s">
        <v>645</v>
      </c>
      <c r="B241" s="1">
        <v>45746</v>
      </c>
      <c r="C241" t="s">
        <v>15</v>
      </c>
      <c r="D241" t="s">
        <v>467</v>
      </c>
      <c r="E241" t="s">
        <v>51</v>
      </c>
      <c r="F241" t="s">
        <v>104</v>
      </c>
      <c r="G241" t="s">
        <v>206</v>
      </c>
      <c r="H241" t="s">
        <v>38</v>
      </c>
      <c r="I241" t="s">
        <v>39</v>
      </c>
      <c r="J241" t="s">
        <v>258</v>
      </c>
      <c r="K241">
        <v>3</v>
      </c>
      <c r="L241" s="2">
        <v>1530.31</v>
      </c>
      <c r="M241">
        <v>0.15</v>
      </c>
      <c r="N241">
        <v>212.42</v>
      </c>
    </row>
    <row r="242" spans="1:14" x14ac:dyDescent="0.35">
      <c r="A242" t="s">
        <v>646</v>
      </c>
      <c r="B242" s="1">
        <v>45747</v>
      </c>
      <c r="C242" t="s">
        <v>647</v>
      </c>
      <c r="D242" t="s">
        <v>103</v>
      </c>
      <c r="E242" t="s">
        <v>51</v>
      </c>
      <c r="F242" t="s">
        <v>92</v>
      </c>
      <c r="G242" t="s">
        <v>178</v>
      </c>
      <c r="H242" t="s">
        <v>20</v>
      </c>
      <c r="I242" t="s">
        <v>46</v>
      </c>
      <c r="J242" t="s">
        <v>130</v>
      </c>
      <c r="K242">
        <v>3</v>
      </c>
      <c r="L242" s="2">
        <v>23197.46</v>
      </c>
      <c r="M242">
        <v>0.1</v>
      </c>
      <c r="N242">
        <v>4252.6499999999996</v>
      </c>
    </row>
    <row r="243" spans="1:14" x14ac:dyDescent="0.35">
      <c r="A243" t="s">
        <v>648</v>
      </c>
      <c r="B243" s="1">
        <v>45747</v>
      </c>
      <c r="C243" t="s">
        <v>649</v>
      </c>
      <c r="D243" t="s">
        <v>245</v>
      </c>
      <c r="E243" t="s">
        <v>35</v>
      </c>
      <c r="F243" t="s">
        <v>70</v>
      </c>
      <c r="G243" t="s">
        <v>297</v>
      </c>
      <c r="H243" t="s">
        <v>38</v>
      </c>
      <c r="I243" t="s">
        <v>78</v>
      </c>
      <c r="J243" t="s">
        <v>79</v>
      </c>
      <c r="K243">
        <v>5</v>
      </c>
      <c r="L243" s="2">
        <v>1477.8</v>
      </c>
      <c r="M243">
        <v>0.1</v>
      </c>
      <c r="N243">
        <v>169.37</v>
      </c>
    </row>
    <row r="244" spans="1:14" x14ac:dyDescent="0.35">
      <c r="A244" t="s">
        <v>650</v>
      </c>
      <c r="B244" s="1">
        <v>45747</v>
      </c>
      <c r="C244" t="s">
        <v>180</v>
      </c>
      <c r="D244" t="s">
        <v>420</v>
      </c>
      <c r="E244" t="s">
        <v>17</v>
      </c>
      <c r="F244" t="s">
        <v>185</v>
      </c>
      <c r="G244" t="s">
        <v>528</v>
      </c>
      <c r="H244" t="s">
        <v>20</v>
      </c>
      <c r="I244" t="s">
        <v>65</v>
      </c>
      <c r="J244" t="s">
        <v>117</v>
      </c>
      <c r="K244">
        <v>1</v>
      </c>
      <c r="L244" s="2">
        <v>5597.12</v>
      </c>
      <c r="M244">
        <v>0.05</v>
      </c>
      <c r="N244">
        <v>564.64</v>
      </c>
    </row>
    <row r="245" spans="1:14" x14ac:dyDescent="0.35">
      <c r="A245" t="s">
        <v>651</v>
      </c>
      <c r="B245" s="1">
        <v>45747</v>
      </c>
      <c r="C245" t="s">
        <v>547</v>
      </c>
      <c r="D245" t="s">
        <v>652</v>
      </c>
      <c r="E245" t="s">
        <v>26</v>
      </c>
      <c r="F245" t="s">
        <v>27</v>
      </c>
      <c r="G245" t="s">
        <v>28</v>
      </c>
      <c r="H245" t="s">
        <v>29</v>
      </c>
      <c r="I245" t="s">
        <v>30</v>
      </c>
      <c r="J245" t="s">
        <v>31</v>
      </c>
      <c r="K245">
        <v>4</v>
      </c>
      <c r="L245" s="2">
        <v>66453</v>
      </c>
      <c r="M245">
        <v>0.05</v>
      </c>
      <c r="N245">
        <v>15014.65</v>
      </c>
    </row>
    <row r="246" spans="1:14" x14ac:dyDescent="0.35">
      <c r="A246" t="s">
        <v>653</v>
      </c>
      <c r="B246" s="1">
        <v>45747</v>
      </c>
      <c r="C246" t="s">
        <v>585</v>
      </c>
      <c r="D246" t="s">
        <v>266</v>
      </c>
      <c r="E246" t="s">
        <v>51</v>
      </c>
      <c r="F246" t="s">
        <v>92</v>
      </c>
      <c r="G246" t="s">
        <v>93</v>
      </c>
      <c r="H246" t="s">
        <v>38</v>
      </c>
      <c r="I246" t="s">
        <v>39</v>
      </c>
      <c r="J246" t="s">
        <v>40</v>
      </c>
      <c r="K246">
        <v>4</v>
      </c>
      <c r="L246" s="2">
        <v>1700.33</v>
      </c>
      <c r="M246">
        <v>0.1</v>
      </c>
      <c r="N246">
        <v>366.95</v>
      </c>
    </row>
    <row r="247" spans="1:14" x14ac:dyDescent="0.35">
      <c r="A247" t="s">
        <v>654</v>
      </c>
      <c r="B247" s="1">
        <v>45747</v>
      </c>
      <c r="C247" t="s">
        <v>539</v>
      </c>
      <c r="D247" t="s">
        <v>583</v>
      </c>
      <c r="E247" t="s">
        <v>26</v>
      </c>
      <c r="F247" t="s">
        <v>27</v>
      </c>
      <c r="G247" t="s">
        <v>28</v>
      </c>
      <c r="H247" t="s">
        <v>29</v>
      </c>
      <c r="I247" t="s">
        <v>94</v>
      </c>
      <c r="J247" t="s">
        <v>106</v>
      </c>
      <c r="K247">
        <v>4</v>
      </c>
      <c r="L247" s="2">
        <v>269226.98</v>
      </c>
      <c r="M247">
        <v>0.1</v>
      </c>
      <c r="N247">
        <v>16334.17</v>
      </c>
    </row>
    <row r="248" spans="1:14" x14ac:dyDescent="0.35">
      <c r="A248" t="s">
        <v>655</v>
      </c>
      <c r="B248" s="1">
        <v>45747</v>
      </c>
      <c r="C248" t="s">
        <v>656</v>
      </c>
      <c r="D248" t="s">
        <v>293</v>
      </c>
      <c r="E248" t="s">
        <v>51</v>
      </c>
      <c r="F248" t="s">
        <v>52</v>
      </c>
      <c r="G248" t="s">
        <v>53</v>
      </c>
      <c r="H248" t="s">
        <v>20</v>
      </c>
      <c r="I248" t="s">
        <v>65</v>
      </c>
      <c r="J248" t="s">
        <v>117</v>
      </c>
      <c r="K248">
        <v>1</v>
      </c>
      <c r="L248" s="2">
        <v>4778.97</v>
      </c>
      <c r="M248">
        <v>0.1</v>
      </c>
      <c r="N248">
        <v>1046.8800000000001</v>
      </c>
    </row>
    <row r="249" spans="1:14" x14ac:dyDescent="0.35">
      <c r="A249" t="s">
        <v>657</v>
      </c>
      <c r="B249" s="1">
        <v>45747</v>
      </c>
      <c r="C249" t="s">
        <v>216</v>
      </c>
      <c r="D249" t="s">
        <v>366</v>
      </c>
      <c r="E249" t="s">
        <v>26</v>
      </c>
      <c r="F249" t="s">
        <v>86</v>
      </c>
      <c r="G249" t="s">
        <v>87</v>
      </c>
      <c r="H249" t="s">
        <v>20</v>
      </c>
      <c r="I249" t="s">
        <v>65</v>
      </c>
      <c r="J249" t="s">
        <v>142</v>
      </c>
      <c r="K249">
        <v>1</v>
      </c>
      <c r="L249" s="2">
        <v>17466.02</v>
      </c>
      <c r="M249">
        <v>0.15</v>
      </c>
      <c r="N249">
        <v>2516.73</v>
      </c>
    </row>
    <row r="250" spans="1:14" x14ac:dyDescent="0.35">
      <c r="A250" t="s">
        <v>658</v>
      </c>
      <c r="B250" s="1">
        <v>45747</v>
      </c>
      <c r="C250" t="s">
        <v>659</v>
      </c>
      <c r="D250" t="s">
        <v>420</v>
      </c>
      <c r="E250" t="s">
        <v>51</v>
      </c>
      <c r="F250" t="s">
        <v>99</v>
      </c>
      <c r="G250" t="s">
        <v>100</v>
      </c>
      <c r="H250" t="s">
        <v>20</v>
      </c>
      <c r="I250" t="s">
        <v>21</v>
      </c>
      <c r="J250" t="s">
        <v>72</v>
      </c>
      <c r="K250">
        <v>3</v>
      </c>
      <c r="L250" s="2">
        <v>7744.51</v>
      </c>
      <c r="M250">
        <v>0.15</v>
      </c>
      <c r="N250">
        <v>1171.95</v>
      </c>
    </row>
    <row r="251" spans="1:14" x14ac:dyDescent="0.35">
      <c r="A251" t="s">
        <v>660</v>
      </c>
      <c r="B251" s="1">
        <v>45747</v>
      </c>
      <c r="C251" t="s">
        <v>661</v>
      </c>
      <c r="D251" t="s">
        <v>230</v>
      </c>
      <c r="E251" t="s">
        <v>35</v>
      </c>
      <c r="F251" t="s">
        <v>36</v>
      </c>
      <c r="G251" t="s">
        <v>255</v>
      </c>
      <c r="H251" t="s">
        <v>38</v>
      </c>
      <c r="I251" t="s">
        <v>218</v>
      </c>
      <c r="J251" t="s">
        <v>219</v>
      </c>
      <c r="K251">
        <v>7</v>
      </c>
      <c r="L251" s="2">
        <v>1958.94</v>
      </c>
      <c r="M251">
        <v>0.1</v>
      </c>
      <c r="N251">
        <v>426.65</v>
      </c>
    </row>
    <row r="252" spans="1:14" x14ac:dyDescent="0.35">
      <c r="A252" t="s">
        <v>662</v>
      </c>
      <c r="B252" s="1">
        <v>45748</v>
      </c>
      <c r="C252" t="s">
        <v>124</v>
      </c>
      <c r="D252" t="s">
        <v>431</v>
      </c>
      <c r="E252" t="s">
        <v>26</v>
      </c>
      <c r="F252" t="s">
        <v>27</v>
      </c>
      <c r="G252" t="s">
        <v>28</v>
      </c>
      <c r="H252" t="s">
        <v>38</v>
      </c>
      <c r="I252" t="s">
        <v>218</v>
      </c>
      <c r="J252" t="s">
        <v>221</v>
      </c>
      <c r="K252">
        <v>2</v>
      </c>
      <c r="L252" s="2">
        <v>358.67</v>
      </c>
      <c r="M252">
        <v>0.05</v>
      </c>
      <c r="N252">
        <v>57.67</v>
      </c>
    </row>
    <row r="253" spans="1:14" x14ac:dyDescent="0.35">
      <c r="A253" t="s">
        <v>663</v>
      </c>
      <c r="B253" s="1">
        <v>45748</v>
      </c>
      <c r="C253" t="s">
        <v>55</v>
      </c>
      <c r="D253" t="s">
        <v>200</v>
      </c>
      <c r="E253" t="s">
        <v>17</v>
      </c>
      <c r="F253" t="s">
        <v>185</v>
      </c>
      <c r="G253" t="s">
        <v>186</v>
      </c>
      <c r="H253" t="s">
        <v>38</v>
      </c>
      <c r="I253" t="s">
        <v>39</v>
      </c>
      <c r="J253" t="s">
        <v>134</v>
      </c>
      <c r="K253">
        <v>5</v>
      </c>
      <c r="L253" s="2">
        <v>3135.2</v>
      </c>
      <c r="M253">
        <v>0.15</v>
      </c>
      <c r="N253">
        <v>383.91</v>
      </c>
    </row>
    <row r="254" spans="1:14" x14ac:dyDescent="0.35">
      <c r="A254" t="s">
        <v>664</v>
      </c>
      <c r="B254" s="1">
        <v>45748</v>
      </c>
      <c r="C254" t="s">
        <v>606</v>
      </c>
      <c r="D254" t="s">
        <v>580</v>
      </c>
      <c r="E254" t="s">
        <v>35</v>
      </c>
      <c r="F254" t="s">
        <v>110</v>
      </c>
      <c r="G254" t="s">
        <v>111</v>
      </c>
      <c r="H254" t="s">
        <v>29</v>
      </c>
      <c r="I254" t="s">
        <v>30</v>
      </c>
      <c r="J254" t="s">
        <v>112</v>
      </c>
      <c r="K254">
        <v>5</v>
      </c>
      <c r="L254" s="2">
        <v>123322.9</v>
      </c>
      <c r="M254">
        <v>0.05</v>
      </c>
      <c r="N254">
        <v>11003.31</v>
      </c>
    </row>
    <row r="255" spans="1:14" x14ac:dyDescent="0.35">
      <c r="A255" t="s">
        <v>665</v>
      </c>
      <c r="B255" s="1">
        <v>45749</v>
      </c>
      <c r="C255" t="s">
        <v>666</v>
      </c>
      <c r="D255" t="s">
        <v>551</v>
      </c>
      <c r="E255" t="s">
        <v>26</v>
      </c>
      <c r="F255" t="s">
        <v>121</v>
      </c>
      <c r="G255" t="s">
        <v>122</v>
      </c>
      <c r="H255" t="s">
        <v>29</v>
      </c>
      <c r="I255" t="s">
        <v>58</v>
      </c>
      <c r="J255" t="s">
        <v>88</v>
      </c>
      <c r="K255">
        <v>4</v>
      </c>
      <c r="L255" s="2">
        <v>8584.83</v>
      </c>
      <c r="M255">
        <v>0.15</v>
      </c>
      <c r="N255">
        <v>1294.1500000000001</v>
      </c>
    </row>
    <row r="256" spans="1:14" x14ac:dyDescent="0.35">
      <c r="A256" t="s">
        <v>667</v>
      </c>
      <c r="B256" s="1">
        <v>45749</v>
      </c>
      <c r="C256" t="s">
        <v>419</v>
      </c>
      <c r="D256" t="s">
        <v>240</v>
      </c>
      <c r="E256" t="s">
        <v>17</v>
      </c>
      <c r="F256" t="s">
        <v>76</v>
      </c>
      <c r="G256" t="s">
        <v>77</v>
      </c>
      <c r="H256" t="s">
        <v>20</v>
      </c>
      <c r="I256" t="s">
        <v>21</v>
      </c>
      <c r="J256" t="s">
        <v>22</v>
      </c>
      <c r="K256">
        <v>1</v>
      </c>
      <c r="L256" s="2">
        <v>5852.61</v>
      </c>
      <c r="M256">
        <v>0.1</v>
      </c>
      <c r="N256">
        <v>386.26</v>
      </c>
    </row>
    <row r="257" spans="1:14" x14ac:dyDescent="0.35">
      <c r="A257" t="s">
        <v>668</v>
      </c>
      <c r="B257" s="1">
        <v>45749</v>
      </c>
      <c r="C257" t="s">
        <v>460</v>
      </c>
      <c r="D257" t="s">
        <v>188</v>
      </c>
      <c r="E257" t="s">
        <v>51</v>
      </c>
      <c r="F257" t="s">
        <v>99</v>
      </c>
      <c r="G257" t="s">
        <v>482</v>
      </c>
      <c r="H257" t="s">
        <v>29</v>
      </c>
      <c r="I257" t="s">
        <v>30</v>
      </c>
      <c r="J257" t="s">
        <v>182</v>
      </c>
      <c r="K257">
        <v>5</v>
      </c>
      <c r="L257" s="2">
        <v>200684.34</v>
      </c>
      <c r="M257">
        <v>0</v>
      </c>
      <c r="N257">
        <v>39081.599999999999</v>
      </c>
    </row>
    <row r="258" spans="1:14" x14ac:dyDescent="0.35">
      <c r="A258" t="s">
        <v>669</v>
      </c>
      <c r="B258" s="1">
        <v>45749</v>
      </c>
      <c r="C258" t="s">
        <v>454</v>
      </c>
      <c r="D258" t="s">
        <v>670</v>
      </c>
      <c r="E258" t="s">
        <v>26</v>
      </c>
      <c r="F258" t="s">
        <v>121</v>
      </c>
      <c r="G258" t="s">
        <v>122</v>
      </c>
      <c r="H258" t="s">
        <v>29</v>
      </c>
      <c r="I258" t="s">
        <v>30</v>
      </c>
      <c r="J258" t="s">
        <v>31</v>
      </c>
      <c r="K258">
        <v>6</v>
      </c>
      <c r="L258" s="2">
        <v>106860.28</v>
      </c>
      <c r="M258">
        <v>0.05</v>
      </c>
      <c r="N258">
        <v>9305.17</v>
      </c>
    </row>
    <row r="259" spans="1:14" x14ac:dyDescent="0.35">
      <c r="A259" t="s">
        <v>671</v>
      </c>
      <c r="B259" s="1">
        <v>45750</v>
      </c>
      <c r="C259" t="s">
        <v>521</v>
      </c>
      <c r="D259" t="s">
        <v>161</v>
      </c>
      <c r="E259" t="s">
        <v>35</v>
      </c>
      <c r="F259" t="s">
        <v>36</v>
      </c>
      <c r="G259" t="s">
        <v>37</v>
      </c>
      <c r="H259" t="s">
        <v>29</v>
      </c>
      <c r="I259" t="s">
        <v>30</v>
      </c>
      <c r="J259" t="s">
        <v>112</v>
      </c>
      <c r="K259">
        <v>2</v>
      </c>
      <c r="L259" s="2">
        <v>51087.01</v>
      </c>
      <c r="M259">
        <v>0.1</v>
      </c>
      <c r="N259">
        <v>5443.46</v>
      </c>
    </row>
    <row r="260" spans="1:14" x14ac:dyDescent="0.35">
      <c r="A260" t="s">
        <v>672</v>
      </c>
      <c r="B260" s="1">
        <v>45750</v>
      </c>
      <c r="C260" t="s">
        <v>545</v>
      </c>
      <c r="D260" t="s">
        <v>512</v>
      </c>
      <c r="E260" t="s">
        <v>35</v>
      </c>
      <c r="F260" t="s">
        <v>110</v>
      </c>
      <c r="G260" t="s">
        <v>111</v>
      </c>
      <c r="H260" t="s">
        <v>20</v>
      </c>
      <c r="I260" t="s">
        <v>65</v>
      </c>
      <c r="J260" t="s">
        <v>66</v>
      </c>
      <c r="K260">
        <v>6</v>
      </c>
      <c r="L260" s="2">
        <v>47431.1</v>
      </c>
      <c r="M260">
        <v>0.15</v>
      </c>
      <c r="N260">
        <v>9619.1299999999992</v>
      </c>
    </row>
    <row r="261" spans="1:14" x14ac:dyDescent="0.35">
      <c r="A261" t="s">
        <v>673</v>
      </c>
      <c r="B261" s="1">
        <v>45750</v>
      </c>
      <c r="C261" t="s">
        <v>385</v>
      </c>
      <c r="D261" t="s">
        <v>375</v>
      </c>
      <c r="E261" t="s">
        <v>35</v>
      </c>
      <c r="F261" t="s">
        <v>36</v>
      </c>
      <c r="G261" t="s">
        <v>255</v>
      </c>
      <c r="H261" t="s">
        <v>38</v>
      </c>
      <c r="I261" t="s">
        <v>78</v>
      </c>
      <c r="J261" t="s">
        <v>307</v>
      </c>
      <c r="K261">
        <v>6</v>
      </c>
      <c r="L261" s="2">
        <v>2906.22</v>
      </c>
      <c r="M261">
        <v>0.05</v>
      </c>
      <c r="N261">
        <v>232.02</v>
      </c>
    </row>
    <row r="262" spans="1:14" x14ac:dyDescent="0.35">
      <c r="A262" t="s">
        <v>674</v>
      </c>
      <c r="B262" s="1">
        <v>45751</v>
      </c>
      <c r="C262" t="s">
        <v>675</v>
      </c>
      <c r="D262" t="s">
        <v>248</v>
      </c>
      <c r="E262" t="s">
        <v>51</v>
      </c>
      <c r="F262" t="s">
        <v>99</v>
      </c>
      <c r="G262" t="s">
        <v>100</v>
      </c>
      <c r="H262" t="s">
        <v>29</v>
      </c>
      <c r="I262" t="s">
        <v>94</v>
      </c>
      <c r="J262" t="s">
        <v>95</v>
      </c>
      <c r="K262">
        <v>6</v>
      </c>
      <c r="L262" s="2">
        <v>352302.15</v>
      </c>
      <c r="M262">
        <v>0.1</v>
      </c>
      <c r="N262">
        <v>20872.34</v>
      </c>
    </row>
    <row r="263" spans="1:14" x14ac:dyDescent="0.35">
      <c r="A263" t="s">
        <v>676</v>
      </c>
      <c r="B263" s="1">
        <v>45751</v>
      </c>
      <c r="C263" t="s">
        <v>55</v>
      </c>
      <c r="D263" t="s">
        <v>677</v>
      </c>
      <c r="E263" t="s">
        <v>35</v>
      </c>
      <c r="F263" t="s">
        <v>70</v>
      </c>
      <c r="G263" t="s">
        <v>71</v>
      </c>
      <c r="H263" t="s">
        <v>20</v>
      </c>
      <c r="I263" t="s">
        <v>46</v>
      </c>
      <c r="J263" t="s">
        <v>47</v>
      </c>
      <c r="K263">
        <v>6</v>
      </c>
      <c r="L263" s="2">
        <v>39420.01</v>
      </c>
      <c r="M263">
        <v>0</v>
      </c>
      <c r="N263">
        <v>2691.62</v>
      </c>
    </row>
    <row r="264" spans="1:14" x14ac:dyDescent="0.35">
      <c r="A264" t="s">
        <v>678</v>
      </c>
      <c r="B264" s="1">
        <v>45751</v>
      </c>
      <c r="C264" t="s">
        <v>427</v>
      </c>
      <c r="D264" t="s">
        <v>679</v>
      </c>
      <c r="E264" t="s">
        <v>17</v>
      </c>
      <c r="F264" t="s">
        <v>18</v>
      </c>
      <c r="G264" t="s">
        <v>19</v>
      </c>
      <c r="H264" t="s">
        <v>29</v>
      </c>
      <c r="I264" t="s">
        <v>30</v>
      </c>
      <c r="J264" t="s">
        <v>31</v>
      </c>
      <c r="K264">
        <v>1</v>
      </c>
      <c r="L264" s="2">
        <v>16126.33</v>
      </c>
      <c r="M264">
        <v>0.1</v>
      </c>
      <c r="N264">
        <v>1840.52</v>
      </c>
    </row>
    <row r="265" spans="1:14" x14ac:dyDescent="0.35">
      <c r="A265" t="s">
        <v>680</v>
      </c>
      <c r="B265" s="1">
        <v>45751</v>
      </c>
      <c r="C265" t="s">
        <v>681</v>
      </c>
      <c r="D265" t="s">
        <v>266</v>
      </c>
      <c r="E265" t="s">
        <v>17</v>
      </c>
      <c r="F265" t="s">
        <v>18</v>
      </c>
      <c r="G265" t="s">
        <v>19</v>
      </c>
      <c r="H265" t="s">
        <v>38</v>
      </c>
      <c r="I265" t="s">
        <v>78</v>
      </c>
      <c r="J265" t="s">
        <v>174</v>
      </c>
      <c r="K265">
        <v>5</v>
      </c>
      <c r="L265" s="2">
        <v>1996.07</v>
      </c>
      <c r="M265">
        <v>0.15</v>
      </c>
      <c r="N265">
        <v>171.26</v>
      </c>
    </row>
    <row r="266" spans="1:14" x14ac:dyDescent="0.35">
      <c r="A266" t="s">
        <v>682</v>
      </c>
      <c r="B266" s="1">
        <v>45752</v>
      </c>
      <c r="C266" t="s">
        <v>140</v>
      </c>
      <c r="D266" t="s">
        <v>683</v>
      </c>
      <c r="E266" t="s">
        <v>35</v>
      </c>
      <c r="F266" t="s">
        <v>70</v>
      </c>
      <c r="G266" t="s">
        <v>71</v>
      </c>
      <c r="H266" t="s">
        <v>38</v>
      </c>
      <c r="I266" t="s">
        <v>78</v>
      </c>
      <c r="J266" t="s">
        <v>174</v>
      </c>
      <c r="K266">
        <v>6</v>
      </c>
      <c r="L266" s="2">
        <v>2464.9299999999998</v>
      </c>
      <c r="M266">
        <v>0.15</v>
      </c>
      <c r="N266">
        <v>130.13999999999999</v>
      </c>
    </row>
    <row r="267" spans="1:14" x14ac:dyDescent="0.35">
      <c r="A267" t="s">
        <v>684</v>
      </c>
      <c r="B267" s="1">
        <v>45752</v>
      </c>
      <c r="C267" t="s">
        <v>119</v>
      </c>
      <c r="D267" t="s">
        <v>98</v>
      </c>
      <c r="E267" t="s">
        <v>26</v>
      </c>
      <c r="F267" t="s">
        <v>44</v>
      </c>
      <c r="G267" t="s">
        <v>116</v>
      </c>
      <c r="H267" t="s">
        <v>29</v>
      </c>
      <c r="I267" t="s">
        <v>94</v>
      </c>
      <c r="J267" t="s">
        <v>95</v>
      </c>
      <c r="K267">
        <v>2</v>
      </c>
      <c r="L267" s="2">
        <v>99382.01</v>
      </c>
      <c r="M267">
        <v>0.2</v>
      </c>
      <c r="N267">
        <v>15116.57</v>
      </c>
    </row>
    <row r="268" spans="1:14" x14ac:dyDescent="0.35">
      <c r="A268" t="s">
        <v>685</v>
      </c>
      <c r="B268" s="1">
        <v>45753</v>
      </c>
      <c r="C268" t="s">
        <v>160</v>
      </c>
      <c r="D268" t="s">
        <v>181</v>
      </c>
      <c r="E268" t="s">
        <v>17</v>
      </c>
      <c r="F268" t="s">
        <v>185</v>
      </c>
      <c r="G268" t="s">
        <v>528</v>
      </c>
      <c r="H268" t="s">
        <v>38</v>
      </c>
      <c r="I268" t="s">
        <v>78</v>
      </c>
      <c r="J268" t="s">
        <v>79</v>
      </c>
      <c r="K268">
        <v>7</v>
      </c>
      <c r="L268" s="2">
        <v>2181.63</v>
      </c>
      <c r="M268">
        <v>0.1</v>
      </c>
      <c r="N268">
        <v>185.24</v>
      </c>
    </row>
    <row r="269" spans="1:14" x14ac:dyDescent="0.35">
      <c r="A269" t="s">
        <v>686</v>
      </c>
      <c r="B269" s="1">
        <v>45753</v>
      </c>
      <c r="C269" t="s">
        <v>227</v>
      </c>
      <c r="D269" t="s">
        <v>687</v>
      </c>
      <c r="E269" t="s">
        <v>17</v>
      </c>
      <c r="F269" t="s">
        <v>210</v>
      </c>
      <c r="G269" t="s">
        <v>211</v>
      </c>
      <c r="H269" t="s">
        <v>38</v>
      </c>
      <c r="I269" t="s">
        <v>39</v>
      </c>
      <c r="J269" t="s">
        <v>134</v>
      </c>
      <c r="K269">
        <v>6</v>
      </c>
      <c r="L269" s="2">
        <v>3836.33</v>
      </c>
      <c r="M269">
        <v>0.1</v>
      </c>
      <c r="N269">
        <v>341.08</v>
      </c>
    </row>
    <row r="270" spans="1:14" x14ac:dyDescent="0.35">
      <c r="A270" t="s">
        <v>688</v>
      </c>
      <c r="B270" s="1">
        <v>45753</v>
      </c>
      <c r="C270" t="s">
        <v>253</v>
      </c>
      <c r="D270" t="s">
        <v>689</v>
      </c>
      <c r="E270" t="s">
        <v>51</v>
      </c>
      <c r="F270" t="s">
        <v>92</v>
      </c>
      <c r="G270" t="s">
        <v>93</v>
      </c>
      <c r="H270" t="s">
        <v>20</v>
      </c>
      <c r="I270" t="s">
        <v>21</v>
      </c>
      <c r="J270" t="s">
        <v>72</v>
      </c>
      <c r="K270">
        <v>2</v>
      </c>
      <c r="L270" s="2">
        <v>6103.93</v>
      </c>
      <c r="M270">
        <v>0.05</v>
      </c>
      <c r="N270">
        <v>660.3</v>
      </c>
    </row>
    <row r="271" spans="1:14" x14ac:dyDescent="0.35">
      <c r="A271" t="s">
        <v>690</v>
      </c>
      <c r="B271" s="1">
        <v>45753</v>
      </c>
      <c r="C271" t="s">
        <v>160</v>
      </c>
      <c r="D271" t="s">
        <v>318</v>
      </c>
      <c r="E271" t="s">
        <v>17</v>
      </c>
      <c r="F271" t="s">
        <v>76</v>
      </c>
      <c r="G271" t="s">
        <v>77</v>
      </c>
      <c r="H271" t="s">
        <v>20</v>
      </c>
      <c r="I271" t="s">
        <v>46</v>
      </c>
      <c r="J271" t="s">
        <v>130</v>
      </c>
      <c r="K271">
        <v>3</v>
      </c>
      <c r="L271" s="2">
        <v>21295.03</v>
      </c>
      <c r="M271">
        <v>0.1</v>
      </c>
      <c r="N271">
        <v>860.8</v>
      </c>
    </row>
    <row r="272" spans="1:14" x14ac:dyDescent="0.35">
      <c r="A272" t="s">
        <v>691</v>
      </c>
      <c r="B272" s="1">
        <v>45755</v>
      </c>
      <c r="C272" t="s">
        <v>435</v>
      </c>
      <c r="D272" t="s">
        <v>692</v>
      </c>
      <c r="E272" t="s">
        <v>35</v>
      </c>
      <c r="F272" t="s">
        <v>110</v>
      </c>
      <c r="G272" t="s">
        <v>111</v>
      </c>
      <c r="H272" t="s">
        <v>20</v>
      </c>
      <c r="I272" t="s">
        <v>46</v>
      </c>
      <c r="J272" t="s">
        <v>203</v>
      </c>
      <c r="K272">
        <v>7</v>
      </c>
      <c r="L272" s="2">
        <v>32281.45</v>
      </c>
      <c r="M272">
        <v>0</v>
      </c>
      <c r="N272">
        <v>3974.03</v>
      </c>
    </row>
    <row r="273" spans="1:14" x14ac:dyDescent="0.35">
      <c r="A273" t="s">
        <v>693</v>
      </c>
      <c r="B273" s="1">
        <v>45755</v>
      </c>
      <c r="C273" t="s">
        <v>499</v>
      </c>
      <c r="D273" t="s">
        <v>234</v>
      </c>
      <c r="E273" t="s">
        <v>35</v>
      </c>
      <c r="F273" t="s">
        <v>70</v>
      </c>
      <c r="G273" t="s">
        <v>297</v>
      </c>
      <c r="H273" t="s">
        <v>38</v>
      </c>
      <c r="I273" t="s">
        <v>218</v>
      </c>
      <c r="J273" t="s">
        <v>221</v>
      </c>
      <c r="K273">
        <v>1</v>
      </c>
      <c r="L273" s="2">
        <v>173.91</v>
      </c>
      <c r="M273">
        <v>0</v>
      </c>
      <c r="N273">
        <v>13.85</v>
      </c>
    </row>
    <row r="274" spans="1:14" x14ac:dyDescent="0.35">
      <c r="A274" t="s">
        <v>694</v>
      </c>
      <c r="B274" s="1">
        <v>45756</v>
      </c>
      <c r="C274" t="s">
        <v>481</v>
      </c>
      <c r="D274" t="s">
        <v>349</v>
      </c>
      <c r="E274" t="s">
        <v>17</v>
      </c>
      <c r="F274" t="s">
        <v>185</v>
      </c>
      <c r="G274" t="s">
        <v>186</v>
      </c>
      <c r="H274" t="s">
        <v>38</v>
      </c>
      <c r="I274" t="s">
        <v>218</v>
      </c>
      <c r="J274" t="s">
        <v>225</v>
      </c>
      <c r="K274">
        <v>1</v>
      </c>
      <c r="L274" s="2">
        <v>242.44</v>
      </c>
      <c r="M274">
        <v>0</v>
      </c>
      <c r="N274">
        <v>28.74</v>
      </c>
    </row>
    <row r="275" spans="1:14" x14ac:dyDescent="0.35">
      <c r="A275" t="s">
        <v>695</v>
      </c>
      <c r="B275" s="1">
        <v>45756</v>
      </c>
      <c r="C275" t="s">
        <v>452</v>
      </c>
      <c r="D275" t="s">
        <v>607</v>
      </c>
      <c r="E275" t="s">
        <v>51</v>
      </c>
      <c r="F275" t="s">
        <v>104</v>
      </c>
      <c r="G275" t="s">
        <v>206</v>
      </c>
      <c r="H275" t="s">
        <v>38</v>
      </c>
      <c r="I275" t="s">
        <v>218</v>
      </c>
      <c r="J275" t="s">
        <v>221</v>
      </c>
      <c r="K275">
        <v>3</v>
      </c>
      <c r="L275" s="2">
        <v>517.03</v>
      </c>
      <c r="M275">
        <v>0</v>
      </c>
      <c r="N275">
        <v>79.53</v>
      </c>
    </row>
    <row r="276" spans="1:14" x14ac:dyDescent="0.35">
      <c r="A276" t="s">
        <v>696</v>
      </c>
      <c r="B276" s="1">
        <v>45756</v>
      </c>
      <c r="C276" t="s">
        <v>697</v>
      </c>
      <c r="D276" t="s">
        <v>687</v>
      </c>
      <c r="E276" t="s">
        <v>17</v>
      </c>
      <c r="F276" t="s">
        <v>210</v>
      </c>
      <c r="G276" t="s">
        <v>211</v>
      </c>
      <c r="H276" t="s">
        <v>29</v>
      </c>
      <c r="I276" t="s">
        <v>94</v>
      </c>
      <c r="J276" t="s">
        <v>106</v>
      </c>
      <c r="K276">
        <v>4</v>
      </c>
      <c r="L276" s="2">
        <v>271408.21999999997</v>
      </c>
      <c r="M276">
        <v>0.15</v>
      </c>
      <c r="N276">
        <v>39767.160000000003</v>
      </c>
    </row>
    <row r="277" spans="1:14" x14ac:dyDescent="0.35">
      <c r="A277" t="s">
        <v>698</v>
      </c>
      <c r="B277" s="1">
        <v>45756</v>
      </c>
      <c r="C277" t="s">
        <v>33</v>
      </c>
      <c r="D277" t="s">
        <v>16</v>
      </c>
      <c r="E277" t="s">
        <v>35</v>
      </c>
      <c r="F277" t="s">
        <v>36</v>
      </c>
      <c r="G277" t="s">
        <v>255</v>
      </c>
      <c r="H277" t="s">
        <v>20</v>
      </c>
      <c r="I277" t="s">
        <v>65</v>
      </c>
      <c r="J277" t="s">
        <v>142</v>
      </c>
      <c r="K277">
        <v>6</v>
      </c>
      <c r="L277" s="2">
        <v>124112.99</v>
      </c>
      <c r="M277">
        <v>0</v>
      </c>
      <c r="N277">
        <v>25914.240000000002</v>
      </c>
    </row>
    <row r="278" spans="1:14" x14ac:dyDescent="0.35">
      <c r="A278" t="s">
        <v>699</v>
      </c>
      <c r="B278" s="1">
        <v>45756</v>
      </c>
      <c r="C278" t="s">
        <v>435</v>
      </c>
      <c r="D278" t="s">
        <v>700</v>
      </c>
      <c r="E278" t="s">
        <v>26</v>
      </c>
      <c r="F278" t="s">
        <v>27</v>
      </c>
      <c r="G278" t="s">
        <v>28</v>
      </c>
      <c r="H278" t="s">
        <v>20</v>
      </c>
      <c r="I278" t="s">
        <v>21</v>
      </c>
      <c r="J278" t="s">
        <v>197</v>
      </c>
      <c r="K278">
        <v>7</v>
      </c>
      <c r="L278" s="2">
        <v>78335.039999999994</v>
      </c>
      <c r="M278">
        <v>0.1</v>
      </c>
      <c r="N278">
        <v>8307.67</v>
      </c>
    </row>
    <row r="279" spans="1:14" x14ac:dyDescent="0.35">
      <c r="A279" t="s">
        <v>701</v>
      </c>
      <c r="B279" s="1">
        <v>45757</v>
      </c>
      <c r="C279" t="s">
        <v>247</v>
      </c>
      <c r="D279" t="s">
        <v>702</v>
      </c>
      <c r="E279" t="s">
        <v>26</v>
      </c>
      <c r="F279" t="s">
        <v>86</v>
      </c>
      <c r="G279" t="s">
        <v>87</v>
      </c>
      <c r="H279" t="s">
        <v>29</v>
      </c>
      <c r="I279" t="s">
        <v>30</v>
      </c>
      <c r="J279" t="s">
        <v>182</v>
      </c>
      <c r="K279">
        <v>1</v>
      </c>
      <c r="L279" s="2">
        <v>38401.760000000002</v>
      </c>
      <c r="M279">
        <v>0.05</v>
      </c>
      <c r="N279">
        <v>3082.95</v>
      </c>
    </row>
    <row r="280" spans="1:14" x14ac:dyDescent="0.35">
      <c r="A280" t="s">
        <v>703</v>
      </c>
      <c r="B280" s="1">
        <v>45757</v>
      </c>
      <c r="C280" t="s">
        <v>704</v>
      </c>
      <c r="D280" t="s">
        <v>263</v>
      </c>
      <c r="E280" t="s">
        <v>35</v>
      </c>
      <c r="F280" t="s">
        <v>36</v>
      </c>
      <c r="G280" t="s">
        <v>37</v>
      </c>
      <c r="H280" t="s">
        <v>20</v>
      </c>
      <c r="I280" t="s">
        <v>21</v>
      </c>
      <c r="J280" t="s">
        <v>22</v>
      </c>
      <c r="K280">
        <v>3</v>
      </c>
      <c r="L280" s="2">
        <v>20702.95</v>
      </c>
      <c r="M280">
        <v>0</v>
      </c>
      <c r="N280">
        <v>1279.48</v>
      </c>
    </row>
    <row r="281" spans="1:14" x14ac:dyDescent="0.35">
      <c r="A281" t="s">
        <v>705</v>
      </c>
      <c r="B281" s="1">
        <v>45757</v>
      </c>
      <c r="C281" t="s">
        <v>706</v>
      </c>
      <c r="D281" t="s">
        <v>184</v>
      </c>
      <c r="E281" t="s">
        <v>17</v>
      </c>
      <c r="F281" t="s">
        <v>185</v>
      </c>
      <c r="G281" t="s">
        <v>186</v>
      </c>
      <c r="H281" t="s">
        <v>29</v>
      </c>
      <c r="I281" t="s">
        <v>58</v>
      </c>
      <c r="J281" t="s">
        <v>88</v>
      </c>
      <c r="K281">
        <v>3</v>
      </c>
      <c r="L281" s="2">
        <v>5909.92</v>
      </c>
      <c r="M281">
        <v>0.15</v>
      </c>
      <c r="N281">
        <v>914.86</v>
      </c>
    </row>
    <row r="282" spans="1:14" x14ac:dyDescent="0.35">
      <c r="A282" t="s">
        <v>707</v>
      </c>
      <c r="B282" s="1">
        <v>45757</v>
      </c>
      <c r="C282" t="s">
        <v>526</v>
      </c>
      <c r="D282" t="s">
        <v>436</v>
      </c>
      <c r="E282" t="s">
        <v>51</v>
      </c>
      <c r="F282" t="s">
        <v>92</v>
      </c>
      <c r="G282" t="s">
        <v>93</v>
      </c>
      <c r="H282" t="s">
        <v>29</v>
      </c>
      <c r="I282" t="s">
        <v>30</v>
      </c>
      <c r="J282" t="s">
        <v>31</v>
      </c>
      <c r="K282">
        <v>4</v>
      </c>
      <c r="L282" s="2">
        <v>68067.5</v>
      </c>
      <c r="M282">
        <v>0</v>
      </c>
      <c r="N282">
        <v>7915.08</v>
      </c>
    </row>
    <row r="283" spans="1:14" x14ac:dyDescent="0.35">
      <c r="A283" t="s">
        <v>708</v>
      </c>
      <c r="B283" s="1">
        <v>45757</v>
      </c>
      <c r="C283" t="s">
        <v>709</v>
      </c>
      <c r="D283" t="s">
        <v>495</v>
      </c>
      <c r="E283" t="s">
        <v>51</v>
      </c>
      <c r="F283" t="s">
        <v>104</v>
      </c>
      <c r="G283" t="s">
        <v>206</v>
      </c>
      <c r="H283" t="s">
        <v>20</v>
      </c>
      <c r="I283" t="s">
        <v>65</v>
      </c>
      <c r="J283" t="s">
        <v>142</v>
      </c>
      <c r="K283">
        <v>6</v>
      </c>
      <c r="L283" s="2">
        <v>123195.61</v>
      </c>
      <c r="M283">
        <v>0.1</v>
      </c>
      <c r="N283">
        <v>21997.119999999999</v>
      </c>
    </row>
    <row r="284" spans="1:14" x14ac:dyDescent="0.35">
      <c r="A284" t="s">
        <v>710</v>
      </c>
      <c r="B284" s="1">
        <v>45757</v>
      </c>
      <c r="C284" t="s">
        <v>452</v>
      </c>
      <c r="D284" t="s">
        <v>580</v>
      </c>
      <c r="E284" t="s">
        <v>26</v>
      </c>
      <c r="F284" t="s">
        <v>27</v>
      </c>
      <c r="G284" t="s">
        <v>267</v>
      </c>
      <c r="H284" t="s">
        <v>38</v>
      </c>
      <c r="I284" t="s">
        <v>218</v>
      </c>
      <c r="J284" t="s">
        <v>221</v>
      </c>
      <c r="K284">
        <v>7</v>
      </c>
      <c r="L284" s="2">
        <v>1120.3900000000001</v>
      </c>
      <c r="M284">
        <v>0.05</v>
      </c>
      <c r="N284">
        <v>148.63999999999999</v>
      </c>
    </row>
    <row r="285" spans="1:14" x14ac:dyDescent="0.35">
      <c r="A285" t="s">
        <v>711</v>
      </c>
      <c r="B285" s="1">
        <v>45757</v>
      </c>
      <c r="C285" t="s">
        <v>55</v>
      </c>
      <c r="D285" t="s">
        <v>368</v>
      </c>
      <c r="E285" t="s">
        <v>35</v>
      </c>
      <c r="F285" t="s">
        <v>110</v>
      </c>
      <c r="G285" t="s">
        <v>111</v>
      </c>
      <c r="H285" t="s">
        <v>38</v>
      </c>
      <c r="I285" t="s">
        <v>78</v>
      </c>
      <c r="J285" t="s">
        <v>174</v>
      </c>
      <c r="K285">
        <v>7</v>
      </c>
      <c r="L285" s="2">
        <v>2882.01</v>
      </c>
      <c r="M285">
        <v>0.1</v>
      </c>
      <c r="N285">
        <v>590.69000000000005</v>
      </c>
    </row>
    <row r="286" spans="1:14" x14ac:dyDescent="0.35">
      <c r="A286" t="s">
        <v>712</v>
      </c>
      <c r="B286" s="1">
        <v>45758</v>
      </c>
      <c r="C286" t="s">
        <v>427</v>
      </c>
      <c r="D286" t="s">
        <v>254</v>
      </c>
      <c r="E286" t="s">
        <v>35</v>
      </c>
      <c r="F286" t="s">
        <v>70</v>
      </c>
      <c r="G286" t="s">
        <v>71</v>
      </c>
      <c r="H286" t="s">
        <v>29</v>
      </c>
      <c r="I286" t="s">
        <v>58</v>
      </c>
      <c r="J286" t="s">
        <v>88</v>
      </c>
      <c r="K286">
        <v>5</v>
      </c>
      <c r="L286" s="2">
        <v>11968.37</v>
      </c>
      <c r="M286">
        <v>0.05</v>
      </c>
      <c r="N286">
        <v>2643.1</v>
      </c>
    </row>
    <row r="287" spans="1:14" x14ac:dyDescent="0.35">
      <c r="A287" t="s">
        <v>713</v>
      </c>
      <c r="B287" s="1">
        <v>45758</v>
      </c>
      <c r="C287" t="s">
        <v>385</v>
      </c>
      <c r="D287" t="s">
        <v>428</v>
      </c>
      <c r="E287" t="s">
        <v>17</v>
      </c>
      <c r="F287" t="s">
        <v>76</v>
      </c>
      <c r="G287" t="s">
        <v>77</v>
      </c>
      <c r="H287" t="s">
        <v>29</v>
      </c>
      <c r="I287" t="s">
        <v>30</v>
      </c>
      <c r="J287" t="s">
        <v>182</v>
      </c>
      <c r="K287">
        <v>5</v>
      </c>
      <c r="L287" s="2">
        <v>217977.77</v>
      </c>
      <c r="M287">
        <v>0</v>
      </c>
      <c r="N287">
        <v>33176.199999999997</v>
      </c>
    </row>
    <row r="288" spans="1:14" x14ac:dyDescent="0.35">
      <c r="A288" t="s">
        <v>714</v>
      </c>
      <c r="B288" s="1">
        <v>45758</v>
      </c>
      <c r="C288" t="s">
        <v>170</v>
      </c>
      <c r="D288" t="s">
        <v>375</v>
      </c>
      <c r="E288" t="s">
        <v>51</v>
      </c>
      <c r="F288" t="s">
        <v>104</v>
      </c>
      <c r="G288" t="s">
        <v>206</v>
      </c>
      <c r="H288" t="s">
        <v>38</v>
      </c>
      <c r="I288" t="s">
        <v>218</v>
      </c>
      <c r="J288" t="s">
        <v>219</v>
      </c>
      <c r="K288">
        <v>2</v>
      </c>
      <c r="L288" s="2">
        <v>614.83000000000004</v>
      </c>
      <c r="M288">
        <v>0</v>
      </c>
      <c r="N288">
        <v>133.78</v>
      </c>
    </row>
    <row r="289" spans="1:14" x14ac:dyDescent="0.35">
      <c r="A289" t="s">
        <v>715</v>
      </c>
      <c r="B289" s="1">
        <v>45758</v>
      </c>
      <c r="C289" t="s">
        <v>716</v>
      </c>
      <c r="D289" t="s">
        <v>717</v>
      </c>
      <c r="E289" t="s">
        <v>35</v>
      </c>
      <c r="F289" t="s">
        <v>110</v>
      </c>
      <c r="G289" t="s">
        <v>111</v>
      </c>
      <c r="H289" t="s">
        <v>20</v>
      </c>
      <c r="I289" t="s">
        <v>46</v>
      </c>
      <c r="J289" t="s">
        <v>47</v>
      </c>
      <c r="K289">
        <v>2</v>
      </c>
      <c r="L289" s="2">
        <v>11986.04</v>
      </c>
      <c r="M289">
        <v>0.1</v>
      </c>
      <c r="N289">
        <v>838.08</v>
      </c>
    </row>
    <row r="290" spans="1:14" x14ac:dyDescent="0.35">
      <c r="A290" t="s">
        <v>718</v>
      </c>
      <c r="B290" s="1">
        <v>45759</v>
      </c>
      <c r="C290" t="s">
        <v>470</v>
      </c>
      <c r="D290" t="s">
        <v>349</v>
      </c>
      <c r="E290" t="s">
        <v>51</v>
      </c>
      <c r="F290" t="s">
        <v>63</v>
      </c>
      <c r="G290" t="s">
        <v>64</v>
      </c>
      <c r="H290" t="s">
        <v>20</v>
      </c>
      <c r="I290" t="s">
        <v>46</v>
      </c>
      <c r="J290" t="s">
        <v>203</v>
      </c>
      <c r="K290">
        <v>6</v>
      </c>
      <c r="L290" s="2">
        <v>25236.86</v>
      </c>
      <c r="M290">
        <v>0.15</v>
      </c>
      <c r="N290">
        <v>1085.76</v>
      </c>
    </row>
    <row r="291" spans="1:14" x14ac:dyDescent="0.35">
      <c r="A291" t="s">
        <v>719</v>
      </c>
      <c r="B291" s="1">
        <v>45759</v>
      </c>
      <c r="C291" t="s">
        <v>253</v>
      </c>
      <c r="D291" t="s">
        <v>720</v>
      </c>
      <c r="E291" t="s">
        <v>51</v>
      </c>
      <c r="F291" t="s">
        <v>104</v>
      </c>
      <c r="G291" t="s">
        <v>105</v>
      </c>
      <c r="H291" t="s">
        <v>20</v>
      </c>
      <c r="I291" t="s">
        <v>46</v>
      </c>
      <c r="J291" t="s">
        <v>203</v>
      </c>
      <c r="K291">
        <v>4</v>
      </c>
      <c r="L291" s="2">
        <v>18892.400000000001</v>
      </c>
      <c r="M291">
        <v>0.1</v>
      </c>
      <c r="N291">
        <v>3977.44</v>
      </c>
    </row>
    <row r="292" spans="1:14" x14ac:dyDescent="0.35">
      <c r="A292" t="s">
        <v>721</v>
      </c>
      <c r="B292" s="1">
        <v>45759</v>
      </c>
      <c r="C292" t="s">
        <v>351</v>
      </c>
      <c r="D292" t="s">
        <v>109</v>
      </c>
      <c r="E292" t="s">
        <v>35</v>
      </c>
      <c r="F292" t="s">
        <v>110</v>
      </c>
      <c r="G292" t="s">
        <v>111</v>
      </c>
      <c r="H292" t="s">
        <v>29</v>
      </c>
      <c r="I292" t="s">
        <v>58</v>
      </c>
      <c r="J292" t="s">
        <v>88</v>
      </c>
      <c r="K292">
        <v>6</v>
      </c>
      <c r="L292" s="2">
        <v>12707.62</v>
      </c>
      <c r="M292">
        <v>0.2</v>
      </c>
      <c r="N292">
        <v>652.07000000000005</v>
      </c>
    </row>
    <row r="293" spans="1:14" x14ac:dyDescent="0.35">
      <c r="A293" t="s">
        <v>722</v>
      </c>
      <c r="B293" s="1">
        <v>45759</v>
      </c>
      <c r="C293" t="s">
        <v>167</v>
      </c>
      <c r="D293" t="s">
        <v>492</v>
      </c>
      <c r="E293" t="s">
        <v>26</v>
      </c>
      <c r="F293" t="s">
        <v>86</v>
      </c>
      <c r="G293" t="s">
        <v>87</v>
      </c>
      <c r="H293" t="s">
        <v>20</v>
      </c>
      <c r="I293" t="s">
        <v>21</v>
      </c>
      <c r="J293" t="s">
        <v>72</v>
      </c>
      <c r="K293">
        <v>3</v>
      </c>
      <c r="L293" s="2">
        <v>8016.49</v>
      </c>
      <c r="M293">
        <v>0.15</v>
      </c>
      <c r="N293">
        <v>1242.92</v>
      </c>
    </row>
    <row r="294" spans="1:14" x14ac:dyDescent="0.35">
      <c r="A294" t="s">
        <v>723</v>
      </c>
      <c r="B294" s="1">
        <v>45759</v>
      </c>
      <c r="C294" t="s">
        <v>629</v>
      </c>
      <c r="D294" t="s">
        <v>724</v>
      </c>
      <c r="E294" t="s">
        <v>26</v>
      </c>
      <c r="F294" t="s">
        <v>86</v>
      </c>
      <c r="G294" t="s">
        <v>87</v>
      </c>
      <c r="H294" t="s">
        <v>20</v>
      </c>
      <c r="I294" t="s">
        <v>46</v>
      </c>
      <c r="J294" t="s">
        <v>47</v>
      </c>
      <c r="K294">
        <v>1</v>
      </c>
      <c r="L294" s="2">
        <v>6346.05</v>
      </c>
      <c r="M294">
        <v>0.1</v>
      </c>
      <c r="N294">
        <v>761.5</v>
      </c>
    </row>
    <row r="295" spans="1:14" x14ac:dyDescent="0.35">
      <c r="A295" t="s">
        <v>725</v>
      </c>
      <c r="B295" s="1">
        <v>45759</v>
      </c>
      <c r="C295" t="s">
        <v>603</v>
      </c>
      <c r="D295" t="s">
        <v>726</v>
      </c>
      <c r="E295" t="s">
        <v>51</v>
      </c>
      <c r="F295" t="s">
        <v>99</v>
      </c>
      <c r="G295" t="s">
        <v>231</v>
      </c>
      <c r="H295" t="s">
        <v>29</v>
      </c>
      <c r="I295" t="s">
        <v>30</v>
      </c>
      <c r="J295" t="s">
        <v>31</v>
      </c>
      <c r="K295">
        <v>5</v>
      </c>
      <c r="L295" s="2">
        <v>81730.83</v>
      </c>
      <c r="M295">
        <v>0.15</v>
      </c>
      <c r="N295">
        <v>7834.67</v>
      </c>
    </row>
    <row r="296" spans="1:14" x14ac:dyDescent="0.35">
      <c r="A296" t="s">
        <v>727</v>
      </c>
      <c r="B296" s="1">
        <v>45759</v>
      </c>
      <c r="C296" t="s">
        <v>363</v>
      </c>
      <c r="D296" t="s">
        <v>349</v>
      </c>
      <c r="E296" t="s">
        <v>26</v>
      </c>
      <c r="F296" t="s">
        <v>121</v>
      </c>
      <c r="G296" t="s">
        <v>214</v>
      </c>
      <c r="H296" t="s">
        <v>20</v>
      </c>
      <c r="I296" t="s">
        <v>46</v>
      </c>
      <c r="J296" t="s">
        <v>203</v>
      </c>
      <c r="K296">
        <v>6</v>
      </c>
      <c r="L296" s="2">
        <v>29389.119999999999</v>
      </c>
      <c r="M296">
        <v>0.05</v>
      </c>
      <c r="N296">
        <v>6019.54</v>
      </c>
    </row>
    <row r="297" spans="1:14" x14ac:dyDescent="0.35">
      <c r="A297" t="s">
        <v>728</v>
      </c>
      <c r="B297" s="1">
        <v>45760</v>
      </c>
      <c r="C297" t="s">
        <v>173</v>
      </c>
      <c r="D297" t="s">
        <v>270</v>
      </c>
      <c r="E297" t="s">
        <v>26</v>
      </c>
      <c r="F297" t="s">
        <v>86</v>
      </c>
      <c r="G297" t="s">
        <v>87</v>
      </c>
      <c r="H297" t="s">
        <v>20</v>
      </c>
      <c r="I297" t="s">
        <v>21</v>
      </c>
      <c r="J297" t="s">
        <v>22</v>
      </c>
      <c r="K297">
        <v>5</v>
      </c>
      <c r="L297" s="2">
        <v>28357.86</v>
      </c>
      <c r="M297">
        <v>0.1</v>
      </c>
      <c r="N297">
        <v>5339.28</v>
      </c>
    </row>
    <row r="298" spans="1:14" x14ac:dyDescent="0.35">
      <c r="A298" t="s">
        <v>729</v>
      </c>
      <c r="B298" s="1">
        <v>45760</v>
      </c>
      <c r="C298" t="s">
        <v>157</v>
      </c>
      <c r="D298" t="s">
        <v>730</v>
      </c>
      <c r="E298" t="s">
        <v>26</v>
      </c>
      <c r="F298" t="s">
        <v>27</v>
      </c>
      <c r="G298" t="s">
        <v>267</v>
      </c>
      <c r="H298" t="s">
        <v>29</v>
      </c>
      <c r="I298" t="s">
        <v>30</v>
      </c>
      <c r="J298" t="s">
        <v>31</v>
      </c>
      <c r="K298">
        <v>1</v>
      </c>
      <c r="L298" s="2">
        <v>16629</v>
      </c>
      <c r="M298">
        <v>0.1</v>
      </c>
      <c r="N298">
        <v>3593.5</v>
      </c>
    </row>
    <row r="299" spans="1:14" x14ac:dyDescent="0.35">
      <c r="A299" t="s">
        <v>731</v>
      </c>
      <c r="B299" s="1">
        <v>45761</v>
      </c>
      <c r="C299" t="s">
        <v>242</v>
      </c>
      <c r="D299" t="s">
        <v>565</v>
      </c>
      <c r="E299" t="s">
        <v>51</v>
      </c>
      <c r="F299" t="s">
        <v>52</v>
      </c>
      <c r="G299" t="s">
        <v>57</v>
      </c>
      <c r="H299" t="s">
        <v>38</v>
      </c>
      <c r="I299" t="s">
        <v>39</v>
      </c>
      <c r="J299" t="s">
        <v>134</v>
      </c>
      <c r="K299">
        <v>7</v>
      </c>
      <c r="L299" s="2">
        <v>5663.96</v>
      </c>
      <c r="M299">
        <v>0</v>
      </c>
      <c r="N299">
        <v>469.5</v>
      </c>
    </row>
    <row r="300" spans="1:14" x14ac:dyDescent="0.35">
      <c r="A300" t="s">
        <v>732</v>
      </c>
      <c r="B300" s="1">
        <v>45761</v>
      </c>
      <c r="C300" t="s">
        <v>733</v>
      </c>
      <c r="D300" t="s">
        <v>243</v>
      </c>
      <c r="E300" t="s">
        <v>51</v>
      </c>
      <c r="F300" t="s">
        <v>104</v>
      </c>
      <c r="G300" t="s">
        <v>206</v>
      </c>
      <c r="H300" t="s">
        <v>38</v>
      </c>
      <c r="I300" t="s">
        <v>78</v>
      </c>
      <c r="J300" t="s">
        <v>307</v>
      </c>
      <c r="K300">
        <v>6</v>
      </c>
      <c r="L300" s="2">
        <v>2784.77</v>
      </c>
      <c r="M300">
        <v>0.15</v>
      </c>
      <c r="N300">
        <v>217.51</v>
      </c>
    </row>
    <row r="301" spans="1:14" x14ac:dyDescent="0.35">
      <c r="A301" t="s">
        <v>734</v>
      </c>
      <c r="B301" s="1">
        <v>45761</v>
      </c>
      <c r="C301" t="s">
        <v>389</v>
      </c>
      <c r="D301" t="s">
        <v>474</v>
      </c>
      <c r="E301" t="s">
        <v>35</v>
      </c>
      <c r="F301" t="s">
        <v>70</v>
      </c>
      <c r="G301" t="s">
        <v>297</v>
      </c>
      <c r="H301" t="s">
        <v>20</v>
      </c>
      <c r="I301" t="s">
        <v>21</v>
      </c>
      <c r="J301" t="s">
        <v>22</v>
      </c>
      <c r="K301">
        <v>1</v>
      </c>
      <c r="L301" s="2">
        <v>6014.89</v>
      </c>
      <c r="M301">
        <v>0</v>
      </c>
      <c r="N301">
        <v>967.63</v>
      </c>
    </row>
    <row r="302" spans="1:14" x14ac:dyDescent="0.35">
      <c r="A302" t="s">
        <v>735</v>
      </c>
      <c r="B302" s="1">
        <v>45762</v>
      </c>
      <c r="C302" t="s">
        <v>374</v>
      </c>
      <c r="D302" t="s">
        <v>228</v>
      </c>
      <c r="E302" t="s">
        <v>51</v>
      </c>
      <c r="F302" t="s">
        <v>52</v>
      </c>
      <c r="G302" t="s">
        <v>53</v>
      </c>
      <c r="H302" t="s">
        <v>38</v>
      </c>
      <c r="I302" t="s">
        <v>218</v>
      </c>
      <c r="J302" t="s">
        <v>225</v>
      </c>
      <c r="K302">
        <v>3</v>
      </c>
      <c r="L302" s="2">
        <v>762.86</v>
      </c>
      <c r="M302">
        <v>0.05</v>
      </c>
      <c r="N302">
        <v>129.94999999999999</v>
      </c>
    </row>
    <row r="303" spans="1:14" x14ac:dyDescent="0.35">
      <c r="A303" t="s">
        <v>736</v>
      </c>
      <c r="B303" s="1">
        <v>45762</v>
      </c>
      <c r="C303" t="s">
        <v>737</v>
      </c>
      <c r="D303" t="s">
        <v>524</v>
      </c>
      <c r="E303" t="s">
        <v>17</v>
      </c>
      <c r="F303" t="s">
        <v>185</v>
      </c>
      <c r="G303" t="s">
        <v>186</v>
      </c>
      <c r="H303" t="s">
        <v>20</v>
      </c>
      <c r="I303" t="s">
        <v>21</v>
      </c>
      <c r="J303" t="s">
        <v>22</v>
      </c>
      <c r="K303">
        <v>1</v>
      </c>
      <c r="L303" s="2">
        <v>5713.62</v>
      </c>
      <c r="M303">
        <v>0.05</v>
      </c>
      <c r="N303">
        <v>1266.76</v>
      </c>
    </row>
    <row r="304" spans="1:14" x14ac:dyDescent="0.35">
      <c r="A304" t="s">
        <v>738</v>
      </c>
      <c r="B304" s="1">
        <v>45762</v>
      </c>
      <c r="C304" t="s">
        <v>472</v>
      </c>
      <c r="D304" t="s">
        <v>739</v>
      </c>
      <c r="E304" t="s">
        <v>51</v>
      </c>
      <c r="F304" t="s">
        <v>63</v>
      </c>
      <c r="G304" t="s">
        <v>324</v>
      </c>
      <c r="H304" t="s">
        <v>38</v>
      </c>
      <c r="I304" t="s">
        <v>39</v>
      </c>
      <c r="J304" t="s">
        <v>134</v>
      </c>
      <c r="K304">
        <v>3</v>
      </c>
      <c r="L304" s="2">
        <v>1972.65</v>
      </c>
      <c r="M304">
        <v>0.15</v>
      </c>
      <c r="N304">
        <v>387.3</v>
      </c>
    </row>
    <row r="305" spans="1:14" x14ac:dyDescent="0.35">
      <c r="A305" t="s">
        <v>740</v>
      </c>
      <c r="B305" s="1">
        <v>45763</v>
      </c>
      <c r="C305" t="s">
        <v>706</v>
      </c>
      <c r="D305" t="s">
        <v>644</v>
      </c>
      <c r="E305" t="s">
        <v>51</v>
      </c>
      <c r="F305" t="s">
        <v>52</v>
      </c>
      <c r="G305" t="s">
        <v>57</v>
      </c>
      <c r="H305" t="s">
        <v>29</v>
      </c>
      <c r="I305" t="s">
        <v>94</v>
      </c>
      <c r="J305" t="s">
        <v>138</v>
      </c>
      <c r="K305">
        <v>5</v>
      </c>
      <c r="L305" s="2">
        <v>212117.79</v>
      </c>
      <c r="M305">
        <v>0.05</v>
      </c>
      <c r="N305">
        <v>11220.92</v>
      </c>
    </row>
    <row r="306" spans="1:14" x14ac:dyDescent="0.35">
      <c r="A306" t="s">
        <v>741</v>
      </c>
      <c r="B306" s="1">
        <v>45763</v>
      </c>
      <c r="C306" t="s">
        <v>742</v>
      </c>
      <c r="D306" t="s">
        <v>743</v>
      </c>
      <c r="E306" t="s">
        <v>17</v>
      </c>
      <c r="F306" t="s">
        <v>185</v>
      </c>
      <c r="G306" t="s">
        <v>528</v>
      </c>
      <c r="H306" t="s">
        <v>20</v>
      </c>
      <c r="I306" t="s">
        <v>21</v>
      </c>
      <c r="J306" t="s">
        <v>72</v>
      </c>
      <c r="K306">
        <v>6</v>
      </c>
      <c r="L306" s="2">
        <v>16581.169999999998</v>
      </c>
      <c r="M306">
        <v>0.05</v>
      </c>
      <c r="N306">
        <v>3103.72</v>
      </c>
    </row>
    <row r="307" spans="1:14" x14ac:dyDescent="0.35">
      <c r="A307" t="s">
        <v>744</v>
      </c>
      <c r="B307" s="1">
        <v>45764</v>
      </c>
      <c r="C307" t="s">
        <v>273</v>
      </c>
      <c r="D307" t="s">
        <v>591</v>
      </c>
      <c r="E307" t="s">
        <v>17</v>
      </c>
      <c r="F307" t="s">
        <v>185</v>
      </c>
      <c r="G307" t="s">
        <v>186</v>
      </c>
      <c r="H307" t="s">
        <v>29</v>
      </c>
      <c r="I307" t="s">
        <v>58</v>
      </c>
      <c r="J307" t="s">
        <v>300</v>
      </c>
      <c r="K307">
        <v>5</v>
      </c>
      <c r="L307" s="2">
        <v>5693.21</v>
      </c>
      <c r="M307">
        <v>0.2</v>
      </c>
      <c r="N307">
        <v>898.87</v>
      </c>
    </row>
    <row r="308" spans="1:14" x14ac:dyDescent="0.35">
      <c r="A308" t="s">
        <v>745</v>
      </c>
      <c r="B308" s="1">
        <v>45765</v>
      </c>
      <c r="C308" t="s">
        <v>402</v>
      </c>
      <c r="D308" t="s">
        <v>607</v>
      </c>
      <c r="E308" t="s">
        <v>17</v>
      </c>
      <c r="F308" t="s">
        <v>210</v>
      </c>
      <c r="G308" t="s">
        <v>211</v>
      </c>
      <c r="H308" t="s">
        <v>20</v>
      </c>
      <c r="I308" t="s">
        <v>46</v>
      </c>
      <c r="J308" t="s">
        <v>47</v>
      </c>
      <c r="K308">
        <v>7</v>
      </c>
      <c r="L308" s="2">
        <v>37928.61</v>
      </c>
      <c r="M308">
        <v>0.2</v>
      </c>
      <c r="N308">
        <v>1387.13</v>
      </c>
    </row>
    <row r="309" spans="1:14" x14ac:dyDescent="0.35">
      <c r="A309" t="s">
        <v>746</v>
      </c>
      <c r="B309" s="1">
        <v>45765</v>
      </c>
      <c r="C309" t="s">
        <v>747</v>
      </c>
      <c r="D309" t="s">
        <v>263</v>
      </c>
      <c r="E309" t="s">
        <v>35</v>
      </c>
      <c r="F309" t="s">
        <v>70</v>
      </c>
      <c r="G309" t="s">
        <v>71</v>
      </c>
      <c r="H309" t="s">
        <v>29</v>
      </c>
      <c r="I309" t="s">
        <v>58</v>
      </c>
      <c r="J309" t="s">
        <v>300</v>
      </c>
      <c r="K309">
        <v>3</v>
      </c>
      <c r="L309" s="2">
        <v>3541.65</v>
      </c>
      <c r="M309">
        <v>0.15</v>
      </c>
      <c r="N309">
        <v>486.37</v>
      </c>
    </row>
    <row r="310" spans="1:14" x14ac:dyDescent="0.35">
      <c r="A310" t="s">
        <v>748</v>
      </c>
      <c r="B310" s="1">
        <v>45765</v>
      </c>
      <c r="C310" t="s">
        <v>606</v>
      </c>
      <c r="D310" t="s">
        <v>240</v>
      </c>
      <c r="E310" t="s">
        <v>26</v>
      </c>
      <c r="F310" t="s">
        <v>44</v>
      </c>
      <c r="G310" t="s">
        <v>45</v>
      </c>
      <c r="H310" t="s">
        <v>20</v>
      </c>
      <c r="I310" t="s">
        <v>46</v>
      </c>
      <c r="J310" t="s">
        <v>47</v>
      </c>
      <c r="K310">
        <v>1</v>
      </c>
      <c r="L310" s="2">
        <v>6665.88</v>
      </c>
      <c r="M310">
        <v>0.1</v>
      </c>
      <c r="N310">
        <v>904.83</v>
      </c>
    </row>
    <row r="311" spans="1:14" x14ac:dyDescent="0.35">
      <c r="A311" t="s">
        <v>749</v>
      </c>
      <c r="B311" s="1">
        <v>45766</v>
      </c>
      <c r="C311" t="s">
        <v>750</v>
      </c>
      <c r="D311" t="s">
        <v>380</v>
      </c>
      <c r="E311" t="s">
        <v>26</v>
      </c>
      <c r="F311" t="s">
        <v>44</v>
      </c>
      <c r="G311" t="s">
        <v>45</v>
      </c>
      <c r="H311" t="s">
        <v>38</v>
      </c>
      <c r="I311" t="s">
        <v>218</v>
      </c>
      <c r="J311" t="s">
        <v>219</v>
      </c>
      <c r="K311">
        <v>4</v>
      </c>
      <c r="L311" s="2">
        <v>1195.1400000000001</v>
      </c>
      <c r="M311">
        <v>0.05</v>
      </c>
      <c r="N311">
        <v>209.41</v>
      </c>
    </row>
    <row r="312" spans="1:14" x14ac:dyDescent="0.35">
      <c r="A312" t="s">
        <v>751</v>
      </c>
      <c r="B312" s="1">
        <v>45766</v>
      </c>
      <c r="C312" t="s">
        <v>752</v>
      </c>
      <c r="D312" t="s">
        <v>607</v>
      </c>
      <c r="E312" t="s">
        <v>35</v>
      </c>
      <c r="F312" t="s">
        <v>110</v>
      </c>
      <c r="G312" t="s">
        <v>111</v>
      </c>
      <c r="H312" t="s">
        <v>38</v>
      </c>
      <c r="I312" t="s">
        <v>218</v>
      </c>
      <c r="J312" t="s">
        <v>221</v>
      </c>
      <c r="K312">
        <v>5</v>
      </c>
      <c r="L312" s="2">
        <v>819.17</v>
      </c>
      <c r="M312">
        <v>0.15</v>
      </c>
      <c r="N312">
        <v>134.69</v>
      </c>
    </row>
    <row r="313" spans="1:14" x14ac:dyDescent="0.35">
      <c r="A313" t="s">
        <v>753</v>
      </c>
      <c r="B313" s="1">
        <v>45766</v>
      </c>
      <c r="C313" t="s">
        <v>257</v>
      </c>
      <c r="D313" t="s">
        <v>349</v>
      </c>
      <c r="E313" t="s">
        <v>51</v>
      </c>
      <c r="F313" t="s">
        <v>92</v>
      </c>
      <c r="G313" t="s">
        <v>93</v>
      </c>
      <c r="H313" t="s">
        <v>29</v>
      </c>
      <c r="I313" t="s">
        <v>30</v>
      </c>
      <c r="J313" t="s">
        <v>182</v>
      </c>
      <c r="K313">
        <v>1</v>
      </c>
      <c r="L313" s="2">
        <v>43350.8</v>
      </c>
      <c r="M313">
        <v>0</v>
      </c>
      <c r="N313">
        <v>3484.91</v>
      </c>
    </row>
    <row r="314" spans="1:14" x14ac:dyDescent="0.35">
      <c r="A314" t="s">
        <v>754</v>
      </c>
      <c r="B314" s="1">
        <v>45766</v>
      </c>
      <c r="C314" t="s">
        <v>74</v>
      </c>
      <c r="D314" t="s">
        <v>455</v>
      </c>
      <c r="E314" t="s">
        <v>35</v>
      </c>
      <c r="F314" t="s">
        <v>36</v>
      </c>
      <c r="G314" t="s">
        <v>255</v>
      </c>
      <c r="H314" t="s">
        <v>38</v>
      </c>
      <c r="I314" t="s">
        <v>78</v>
      </c>
      <c r="J314" t="s">
        <v>79</v>
      </c>
      <c r="K314">
        <v>1</v>
      </c>
      <c r="L314" s="2">
        <v>309.33</v>
      </c>
      <c r="M314">
        <v>0.1</v>
      </c>
      <c r="N314">
        <v>60.45</v>
      </c>
    </row>
    <row r="315" spans="1:14" x14ac:dyDescent="0.35">
      <c r="A315" t="s">
        <v>755</v>
      </c>
      <c r="B315" s="1">
        <v>45766</v>
      </c>
      <c r="C315" t="s">
        <v>623</v>
      </c>
      <c r="D315" t="s">
        <v>400</v>
      </c>
      <c r="E315" t="s">
        <v>51</v>
      </c>
      <c r="F315" t="s">
        <v>92</v>
      </c>
      <c r="G315" t="s">
        <v>93</v>
      </c>
      <c r="H315" t="s">
        <v>20</v>
      </c>
      <c r="I315" t="s">
        <v>65</v>
      </c>
      <c r="J315" t="s">
        <v>117</v>
      </c>
      <c r="K315">
        <v>7</v>
      </c>
      <c r="L315" s="2">
        <v>31928.03</v>
      </c>
      <c r="M315">
        <v>0.2</v>
      </c>
      <c r="N315">
        <v>6112.57</v>
      </c>
    </row>
    <row r="316" spans="1:14" x14ac:dyDescent="0.35">
      <c r="A316" t="s">
        <v>756</v>
      </c>
      <c r="B316" s="1">
        <v>45766</v>
      </c>
      <c r="C316" t="s">
        <v>147</v>
      </c>
      <c r="D316" t="s">
        <v>151</v>
      </c>
      <c r="E316" t="s">
        <v>26</v>
      </c>
      <c r="F316" t="s">
        <v>86</v>
      </c>
      <c r="G316" t="s">
        <v>87</v>
      </c>
      <c r="H316" t="s">
        <v>38</v>
      </c>
      <c r="I316" t="s">
        <v>78</v>
      </c>
      <c r="J316" t="s">
        <v>79</v>
      </c>
      <c r="K316">
        <v>6</v>
      </c>
      <c r="L316" s="2">
        <v>1861.55</v>
      </c>
      <c r="M316">
        <v>0.05</v>
      </c>
      <c r="N316">
        <v>158.75</v>
      </c>
    </row>
    <row r="317" spans="1:14" x14ac:dyDescent="0.35">
      <c r="A317" t="s">
        <v>757</v>
      </c>
      <c r="B317" s="1">
        <v>45767</v>
      </c>
      <c r="C317" t="s">
        <v>758</v>
      </c>
      <c r="D317" t="s">
        <v>284</v>
      </c>
      <c r="E317" t="s">
        <v>51</v>
      </c>
      <c r="F317" t="s">
        <v>99</v>
      </c>
      <c r="G317" t="s">
        <v>100</v>
      </c>
      <c r="H317" t="s">
        <v>20</v>
      </c>
      <c r="I317" t="s">
        <v>65</v>
      </c>
      <c r="J317" t="s">
        <v>66</v>
      </c>
      <c r="K317">
        <v>5</v>
      </c>
      <c r="L317" s="2">
        <v>47072.76</v>
      </c>
      <c r="M317">
        <v>0.05</v>
      </c>
      <c r="N317">
        <v>7110.06</v>
      </c>
    </row>
    <row r="318" spans="1:14" x14ac:dyDescent="0.35">
      <c r="A318" t="s">
        <v>759</v>
      </c>
      <c r="B318" s="1">
        <v>45767</v>
      </c>
      <c r="C318" t="s">
        <v>760</v>
      </c>
      <c r="D318" t="s">
        <v>761</v>
      </c>
      <c r="E318" t="s">
        <v>17</v>
      </c>
      <c r="F318" t="s">
        <v>185</v>
      </c>
      <c r="G318" t="s">
        <v>528</v>
      </c>
      <c r="H318" t="s">
        <v>29</v>
      </c>
      <c r="I318" t="s">
        <v>30</v>
      </c>
      <c r="J318" t="s">
        <v>112</v>
      </c>
      <c r="K318">
        <v>4</v>
      </c>
      <c r="L318" s="2">
        <v>107721.29</v>
      </c>
      <c r="M318">
        <v>0.05</v>
      </c>
      <c r="N318">
        <v>16455.86</v>
      </c>
    </row>
    <row r="319" spans="1:14" x14ac:dyDescent="0.35">
      <c r="A319" t="s">
        <v>762</v>
      </c>
      <c r="B319" s="1">
        <v>45767</v>
      </c>
      <c r="C319" t="s">
        <v>389</v>
      </c>
      <c r="D319" t="s">
        <v>763</v>
      </c>
      <c r="E319" t="s">
        <v>51</v>
      </c>
      <c r="F319" t="s">
        <v>52</v>
      </c>
      <c r="G319" t="s">
        <v>57</v>
      </c>
      <c r="H319" t="s">
        <v>29</v>
      </c>
      <c r="I319" t="s">
        <v>58</v>
      </c>
      <c r="J319" t="s">
        <v>59</v>
      </c>
      <c r="K319">
        <v>5</v>
      </c>
      <c r="L319" s="2">
        <v>4045.69</v>
      </c>
      <c r="M319">
        <v>0.1</v>
      </c>
      <c r="N319">
        <v>191.01</v>
      </c>
    </row>
    <row r="320" spans="1:14" x14ac:dyDescent="0.35">
      <c r="A320" t="s">
        <v>764</v>
      </c>
      <c r="B320" s="1">
        <v>45767</v>
      </c>
      <c r="C320" t="s">
        <v>575</v>
      </c>
      <c r="D320" t="s">
        <v>644</v>
      </c>
      <c r="E320" t="s">
        <v>17</v>
      </c>
      <c r="F320" t="s">
        <v>185</v>
      </c>
      <c r="G320" t="s">
        <v>186</v>
      </c>
      <c r="H320" t="s">
        <v>20</v>
      </c>
      <c r="I320" t="s">
        <v>21</v>
      </c>
      <c r="J320" t="s">
        <v>197</v>
      </c>
      <c r="K320">
        <v>2</v>
      </c>
      <c r="L320" s="2">
        <v>18055.54</v>
      </c>
      <c r="M320">
        <v>0.2</v>
      </c>
      <c r="N320">
        <v>2661.1</v>
      </c>
    </row>
    <row r="321" spans="1:14" x14ac:dyDescent="0.35">
      <c r="A321" t="s">
        <v>765</v>
      </c>
      <c r="B321" s="1">
        <v>45768</v>
      </c>
      <c r="C321" t="s">
        <v>766</v>
      </c>
      <c r="D321" t="s">
        <v>446</v>
      </c>
      <c r="E321" t="s">
        <v>17</v>
      </c>
      <c r="F321" t="s">
        <v>76</v>
      </c>
      <c r="G321" t="s">
        <v>77</v>
      </c>
      <c r="H321" t="s">
        <v>20</v>
      </c>
      <c r="I321" t="s">
        <v>65</v>
      </c>
      <c r="J321" t="s">
        <v>66</v>
      </c>
      <c r="K321">
        <v>3</v>
      </c>
      <c r="L321" s="2">
        <v>24084.74</v>
      </c>
      <c r="M321">
        <v>0.15</v>
      </c>
      <c r="N321">
        <v>2109.94</v>
      </c>
    </row>
    <row r="322" spans="1:14" x14ac:dyDescent="0.35">
      <c r="A322" t="s">
        <v>767</v>
      </c>
      <c r="B322" s="1">
        <v>45768</v>
      </c>
      <c r="C322" t="s">
        <v>265</v>
      </c>
      <c r="D322" t="s">
        <v>424</v>
      </c>
      <c r="E322" t="s">
        <v>51</v>
      </c>
      <c r="F322" t="s">
        <v>63</v>
      </c>
      <c r="G322" t="s">
        <v>64</v>
      </c>
      <c r="H322" t="s">
        <v>29</v>
      </c>
      <c r="I322" t="s">
        <v>94</v>
      </c>
      <c r="J322" t="s">
        <v>138</v>
      </c>
      <c r="K322">
        <v>2</v>
      </c>
      <c r="L322" s="2">
        <v>86435.09</v>
      </c>
      <c r="M322">
        <v>0</v>
      </c>
      <c r="N322">
        <v>16284.62</v>
      </c>
    </row>
    <row r="323" spans="1:14" x14ac:dyDescent="0.35">
      <c r="A323" t="s">
        <v>768</v>
      </c>
      <c r="B323" s="1">
        <v>45768</v>
      </c>
      <c r="C323" t="s">
        <v>195</v>
      </c>
      <c r="D323" t="s">
        <v>103</v>
      </c>
      <c r="E323" t="s">
        <v>35</v>
      </c>
      <c r="F323" t="s">
        <v>128</v>
      </c>
      <c r="G323" t="s">
        <v>129</v>
      </c>
      <c r="H323" t="s">
        <v>29</v>
      </c>
      <c r="I323" t="s">
        <v>30</v>
      </c>
      <c r="J323" t="s">
        <v>31</v>
      </c>
      <c r="K323">
        <v>6</v>
      </c>
      <c r="L323" s="2">
        <v>85465.25</v>
      </c>
      <c r="M323">
        <v>0.15</v>
      </c>
      <c r="N323">
        <v>9091.23</v>
      </c>
    </row>
    <row r="324" spans="1:14" x14ac:dyDescent="0.35">
      <c r="A324" t="s">
        <v>769</v>
      </c>
      <c r="B324" s="1">
        <v>45768</v>
      </c>
      <c r="C324" t="s">
        <v>164</v>
      </c>
      <c r="D324" t="s">
        <v>770</v>
      </c>
      <c r="E324" t="s">
        <v>51</v>
      </c>
      <c r="F324" t="s">
        <v>104</v>
      </c>
      <c r="G324" t="s">
        <v>105</v>
      </c>
      <c r="H324" t="s">
        <v>29</v>
      </c>
      <c r="I324" t="s">
        <v>30</v>
      </c>
      <c r="J324" t="s">
        <v>112</v>
      </c>
      <c r="K324">
        <v>2</v>
      </c>
      <c r="L324" s="2">
        <v>52634.34</v>
      </c>
      <c r="M324">
        <v>0</v>
      </c>
      <c r="N324">
        <v>7076.99</v>
      </c>
    </row>
    <row r="325" spans="1:14" x14ac:dyDescent="0.35">
      <c r="A325" t="s">
        <v>771</v>
      </c>
      <c r="B325" s="1">
        <v>45768</v>
      </c>
      <c r="C325" t="s">
        <v>752</v>
      </c>
      <c r="D325" t="s">
        <v>103</v>
      </c>
      <c r="E325" t="s">
        <v>17</v>
      </c>
      <c r="F325" t="s">
        <v>210</v>
      </c>
      <c r="G325" t="s">
        <v>211</v>
      </c>
      <c r="H325" t="s">
        <v>29</v>
      </c>
      <c r="I325" t="s">
        <v>30</v>
      </c>
      <c r="J325" t="s">
        <v>112</v>
      </c>
      <c r="K325">
        <v>3</v>
      </c>
      <c r="L325" s="2">
        <v>81818.83</v>
      </c>
      <c r="M325">
        <v>0</v>
      </c>
      <c r="N325">
        <v>16833.52</v>
      </c>
    </row>
    <row r="326" spans="1:14" x14ac:dyDescent="0.35">
      <c r="A326" t="s">
        <v>772</v>
      </c>
      <c r="B326" s="1">
        <v>45768</v>
      </c>
      <c r="C326" t="s">
        <v>220</v>
      </c>
      <c r="D326" t="s">
        <v>209</v>
      </c>
      <c r="E326" t="s">
        <v>51</v>
      </c>
      <c r="F326" t="s">
        <v>52</v>
      </c>
      <c r="G326" t="s">
        <v>57</v>
      </c>
      <c r="H326" t="s">
        <v>29</v>
      </c>
      <c r="I326" t="s">
        <v>58</v>
      </c>
      <c r="J326" t="s">
        <v>88</v>
      </c>
      <c r="K326">
        <v>1</v>
      </c>
      <c r="L326" s="2">
        <v>2509.27</v>
      </c>
      <c r="M326">
        <v>0.05</v>
      </c>
      <c r="N326">
        <v>515.48</v>
      </c>
    </row>
    <row r="327" spans="1:14" x14ac:dyDescent="0.35">
      <c r="A327" t="s">
        <v>773</v>
      </c>
      <c r="B327" s="1">
        <v>45769</v>
      </c>
      <c r="C327" t="s">
        <v>531</v>
      </c>
      <c r="D327" t="s">
        <v>450</v>
      </c>
      <c r="E327" t="s">
        <v>51</v>
      </c>
      <c r="F327" t="s">
        <v>63</v>
      </c>
      <c r="G327" t="s">
        <v>64</v>
      </c>
      <c r="H327" t="s">
        <v>20</v>
      </c>
      <c r="I327" t="s">
        <v>65</v>
      </c>
      <c r="J327" t="s">
        <v>66</v>
      </c>
      <c r="K327">
        <v>2</v>
      </c>
      <c r="L327" s="2">
        <v>17729.95</v>
      </c>
      <c r="M327">
        <v>0.1</v>
      </c>
      <c r="N327">
        <v>2344.71</v>
      </c>
    </row>
    <row r="328" spans="1:14" x14ac:dyDescent="0.35">
      <c r="A328" t="s">
        <v>774</v>
      </c>
      <c r="B328" s="1">
        <v>45769</v>
      </c>
      <c r="C328" t="s">
        <v>411</v>
      </c>
      <c r="D328" t="s">
        <v>230</v>
      </c>
      <c r="E328" t="s">
        <v>35</v>
      </c>
      <c r="F328" t="s">
        <v>128</v>
      </c>
      <c r="G328" t="s">
        <v>129</v>
      </c>
      <c r="H328" t="s">
        <v>20</v>
      </c>
      <c r="I328" t="s">
        <v>21</v>
      </c>
      <c r="J328" t="s">
        <v>72</v>
      </c>
      <c r="K328">
        <v>5</v>
      </c>
      <c r="L328" s="2">
        <v>13859.22</v>
      </c>
      <c r="M328">
        <v>0.05</v>
      </c>
      <c r="N328">
        <v>1403.72</v>
      </c>
    </row>
    <row r="329" spans="1:14" x14ac:dyDescent="0.35">
      <c r="A329" t="s">
        <v>775</v>
      </c>
      <c r="B329" s="1">
        <v>45769</v>
      </c>
      <c r="C329" t="s">
        <v>681</v>
      </c>
      <c r="D329" t="s">
        <v>184</v>
      </c>
      <c r="E329" t="s">
        <v>17</v>
      </c>
      <c r="F329" t="s">
        <v>18</v>
      </c>
      <c r="G329" t="s">
        <v>19</v>
      </c>
      <c r="H329" t="s">
        <v>38</v>
      </c>
      <c r="I329" t="s">
        <v>218</v>
      </c>
      <c r="J329" t="s">
        <v>221</v>
      </c>
      <c r="K329">
        <v>5</v>
      </c>
      <c r="L329" s="2">
        <v>882.96</v>
      </c>
      <c r="M329">
        <v>0.05</v>
      </c>
      <c r="N329">
        <v>171.73</v>
      </c>
    </row>
    <row r="330" spans="1:14" x14ac:dyDescent="0.35">
      <c r="A330" t="s">
        <v>776</v>
      </c>
      <c r="B330" s="1">
        <v>45769</v>
      </c>
      <c r="C330" t="s">
        <v>587</v>
      </c>
      <c r="D330" t="s">
        <v>777</v>
      </c>
      <c r="E330" t="s">
        <v>51</v>
      </c>
      <c r="F330" t="s">
        <v>52</v>
      </c>
      <c r="G330" t="s">
        <v>57</v>
      </c>
      <c r="H330" t="s">
        <v>29</v>
      </c>
      <c r="I330" t="s">
        <v>58</v>
      </c>
      <c r="J330" t="s">
        <v>88</v>
      </c>
      <c r="K330">
        <v>6</v>
      </c>
      <c r="L330" s="2">
        <v>12913.67</v>
      </c>
      <c r="M330">
        <v>0.1</v>
      </c>
      <c r="N330">
        <v>923.22</v>
      </c>
    </row>
    <row r="331" spans="1:14" x14ac:dyDescent="0.35">
      <c r="A331" t="s">
        <v>778</v>
      </c>
      <c r="B331" s="1">
        <v>45769</v>
      </c>
      <c r="C331" t="s">
        <v>170</v>
      </c>
      <c r="D331" t="s">
        <v>601</v>
      </c>
      <c r="E331" t="s">
        <v>26</v>
      </c>
      <c r="F331" t="s">
        <v>44</v>
      </c>
      <c r="G331" t="s">
        <v>45</v>
      </c>
      <c r="H331" t="s">
        <v>29</v>
      </c>
      <c r="I331" t="s">
        <v>94</v>
      </c>
      <c r="J331" t="s">
        <v>106</v>
      </c>
      <c r="K331">
        <v>1</v>
      </c>
      <c r="L331" s="2">
        <v>62796.480000000003</v>
      </c>
      <c r="M331">
        <v>0.15</v>
      </c>
      <c r="N331">
        <v>2100.3000000000002</v>
      </c>
    </row>
    <row r="332" spans="1:14" x14ac:dyDescent="0.35">
      <c r="A332" t="s">
        <v>779</v>
      </c>
      <c r="B332" s="1">
        <v>45770</v>
      </c>
      <c r="C332" t="s">
        <v>489</v>
      </c>
      <c r="D332" t="s">
        <v>717</v>
      </c>
      <c r="E332" t="s">
        <v>17</v>
      </c>
      <c r="F332" t="s">
        <v>18</v>
      </c>
      <c r="G332" t="s">
        <v>19</v>
      </c>
      <c r="H332" t="s">
        <v>29</v>
      </c>
      <c r="I332" t="s">
        <v>30</v>
      </c>
      <c r="J332" t="s">
        <v>112</v>
      </c>
      <c r="K332">
        <v>6</v>
      </c>
      <c r="L332" s="2">
        <v>168753.9</v>
      </c>
      <c r="M332">
        <v>0.05</v>
      </c>
      <c r="N332">
        <v>25034.69</v>
      </c>
    </row>
    <row r="333" spans="1:14" x14ac:dyDescent="0.35">
      <c r="A333" t="s">
        <v>780</v>
      </c>
      <c r="B333" s="1">
        <v>45770</v>
      </c>
      <c r="C333" t="s">
        <v>781</v>
      </c>
      <c r="D333" t="s">
        <v>115</v>
      </c>
      <c r="E333" t="s">
        <v>26</v>
      </c>
      <c r="F333" t="s">
        <v>44</v>
      </c>
      <c r="G333" t="s">
        <v>116</v>
      </c>
      <c r="H333" t="s">
        <v>29</v>
      </c>
      <c r="I333" t="s">
        <v>58</v>
      </c>
      <c r="J333" t="s">
        <v>300</v>
      </c>
      <c r="K333">
        <v>4</v>
      </c>
      <c r="L333" s="2">
        <v>5241.42</v>
      </c>
      <c r="M333">
        <v>0.1</v>
      </c>
      <c r="N333">
        <v>532.49</v>
      </c>
    </row>
    <row r="334" spans="1:14" x14ac:dyDescent="0.35">
      <c r="A334" t="s">
        <v>782</v>
      </c>
      <c r="B334" s="1">
        <v>45771</v>
      </c>
      <c r="C334" t="s">
        <v>320</v>
      </c>
      <c r="D334" t="s">
        <v>377</v>
      </c>
      <c r="E334" t="s">
        <v>17</v>
      </c>
      <c r="F334" t="s">
        <v>76</v>
      </c>
      <c r="G334" t="s">
        <v>77</v>
      </c>
      <c r="H334" t="s">
        <v>20</v>
      </c>
      <c r="I334" t="s">
        <v>46</v>
      </c>
      <c r="J334" t="s">
        <v>203</v>
      </c>
      <c r="K334">
        <v>4</v>
      </c>
      <c r="L334" s="2">
        <v>20883.75</v>
      </c>
      <c r="M334">
        <v>0</v>
      </c>
      <c r="N334">
        <v>4904.91</v>
      </c>
    </row>
    <row r="335" spans="1:14" x14ac:dyDescent="0.35">
      <c r="A335" t="s">
        <v>783</v>
      </c>
      <c r="B335" s="1">
        <v>45772</v>
      </c>
      <c r="C335" t="s">
        <v>454</v>
      </c>
      <c r="D335" t="s">
        <v>644</v>
      </c>
      <c r="E335" t="s">
        <v>26</v>
      </c>
      <c r="F335" t="s">
        <v>27</v>
      </c>
      <c r="G335" t="s">
        <v>28</v>
      </c>
      <c r="H335" t="s">
        <v>29</v>
      </c>
      <c r="I335" t="s">
        <v>94</v>
      </c>
      <c r="J335" t="s">
        <v>95</v>
      </c>
      <c r="K335">
        <v>5</v>
      </c>
      <c r="L335" s="2">
        <v>313117.11</v>
      </c>
      <c r="M335">
        <v>0.05</v>
      </c>
      <c r="N335">
        <v>71039.210000000006</v>
      </c>
    </row>
    <row r="336" spans="1:14" x14ac:dyDescent="0.35">
      <c r="A336" t="s">
        <v>784</v>
      </c>
      <c r="B336" s="1">
        <v>45772</v>
      </c>
      <c r="C336" t="s">
        <v>147</v>
      </c>
      <c r="D336" t="s">
        <v>62</v>
      </c>
      <c r="E336" t="s">
        <v>35</v>
      </c>
      <c r="F336" t="s">
        <v>70</v>
      </c>
      <c r="G336" t="s">
        <v>71</v>
      </c>
      <c r="H336" t="s">
        <v>29</v>
      </c>
      <c r="I336" t="s">
        <v>94</v>
      </c>
      <c r="J336" t="s">
        <v>95</v>
      </c>
      <c r="K336">
        <v>4</v>
      </c>
      <c r="L336" s="2">
        <v>213980.53</v>
      </c>
      <c r="M336">
        <v>0.1</v>
      </c>
      <c r="N336">
        <v>24967.15</v>
      </c>
    </row>
    <row r="337" spans="1:14" x14ac:dyDescent="0.35">
      <c r="A337" t="s">
        <v>785</v>
      </c>
      <c r="B337" s="1">
        <v>45772</v>
      </c>
      <c r="C337" t="s">
        <v>379</v>
      </c>
      <c r="D337" t="s">
        <v>540</v>
      </c>
      <c r="E337" t="s">
        <v>51</v>
      </c>
      <c r="F337" t="s">
        <v>92</v>
      </c>
      <c r="G337" t="s">
        <v>93</v>
      </c>
      <c r="H337" t="s">
        <v>29</v>
      </c>
      <c r="I337" t="s">
        <v>30</v>
      </c>
      <c r="J337" t="s">
        <v>112</v>
      </c>
      <c r="K337">
        <v>1</v>
      </c>
      <c r="L337" s="2">
        <v>26188.81</v>
      </c>
      <c r="M337">
        <v>0.1</v>
      </c>
      <c r="N337">
        <v>3472.67</v>
      </c>
    </row>
    <row r="338" spans="1:14" x14ac:dyDescent="0.35">
      <c r="A338" t="s">
        <v>786</v>
      </c>
      <c r="B338" s="1">
        <v>45773</v>
      </c>
      <c r="C338" t="s">
        <v>567</v>
      </c>
      <c r="D338" t="s">
        <v>689</v>
      </c>
      <c r="E338" t="s">
        <v>17</v>
      </c>
      <c r="F338" t="s">
        <v>185</v>
      </c>
      <c r="G338" t="s">
        <v>186</v>
      </c>
      <c r="H338" t="s">
        <v>38</v>
      </c>
      <c r="I338" t="s">
        <v>78</v>
      </c>
      <c r="J338" t="s">
        <v>79</v>
      </c>
      <c r="K338">
        <v>3</v>
      </c>
      <c r="L338" s="2">
        <v>1000.35</v>
      </c>
      <c r="M338">
        <v>0</v>
      </c>
      <c r="N338">
        <v>121.32</v>
      </c>
    </row>
    <row r="339" spans="1:14" x14ac:dyDescent="0.35">
      <c r="A339" t="s">
        <v>787</v>
      </c>
      <c r="B339" s="1">
        <v>45774</v>
      </c>
      <c r="C339" t="s">
        <v>405</v>
      </c>
      <c r="D339" t="s">
        <v>148</v>
      </c>
      <c r="E339" t="s">
        <v>17</v>
      </c>
      <c r="F339" t="s">
        <v>210</v>
      </c>
      <c r="G339" t="s">
        <v>211</v>
      </c>
      <c r="H339" t="s">
        <v>29</v>
      </c>
      <c r="I339" t="s">
        <v>94</v>
      </c>
      <c r="J339" t="s">
        <v>106</v>
      </c>
      <c r="K339">
        <v>2</v>
      </c>
      <c r="L339" s="2">
        <v>137665.73000000001</v>
      </c>
      <c r="M339">
        <v>0.05</v>
      </c>
      <c r="N339">
        <v>21994.34</v>
      </c>
    </row>
    <row r="340" spans="1:14" x14ac:dyDescent="0.35">
      <c r="A340" t="s">
        <v>788</v>
      </c>
      <c r="B340" s="1">
        <v>45774</v>
      </c>
      <c r="C340" t="s">
        <v>789</v>
      </c>
      <c r="D340" t="s">
        <v>98</v>
      </c>
      <c r="E340" t="s">
        <v>51</v>
      </c>
      <c r="F340" t="s">
        <v>63</v>
      </c>
      <c r="G340" t="s">
        <v>64</v>
      </c>
      <c r="H340" t="s">
        <v>38</v>
      </c>
      <c r="I340" t="s">
        <v>39</v>
      </c>
      <c r="J340" t="s">
        <v>258</v>
      </c>
      <c r="K340">
        <v>7</v>
      </c>
      <c r="L340" s="2">
        <v>4491.28</v>
      </c>
      <c r="M340">
        <v>0.05</v>
      </c>
      <c r="N340">
        <v>427.37</v>
      </c>
    </row>
    <row r="341" spans="1:14" x14ac:dyDescent="0.35">
      <c r="A341" t="s">
        <v>790</v>
      </c>
      <c r="B341" s="1">
        <v>45774</v>
      </c>
      <c r="C341" t="s">
        <v>595</v>
      </c>
      <c r="D341" t="s">
        <v>670</v>
      </c>
      <c r="E341" t="s">
        <v>35</v>
      </c>
      <c r="F341" t="s">
        <v>36</v>
      </c>
      <c r="G341" t="s">
        <v>255</v>
      </c>
      <c r="H341" t="s">
        <v>20</v>
      </c>
      <c r="I341" t="s">
        <v>65</v>
      </c>
      <c r="J341" t="s">
        <v>117</v>
      </c>
      <c r="K341">
        <v>1</v>
      </c>
      <c r="L341" s="2">
        <v>5211.2299999999996</v>
      </c>
      <c r="M341">
        <v>0</v>
      </c>
      <c r="N341">
        <v>911.02</v>
      </c>
    </row>
    <row r="342" spans="1:14" x14ac:dyDescent="0.35">
      <c r="A342" t="s">
        <v>791</v>
      </c>
      <c r="B342" s="1">
        <v>45775</v>
      </c>
      <c r="C342" t="s">
        <v>311</v>
      </c>
      <c r="D342" t="s">
        <v>792</v>
      </c>
      <c r="E342" t="s">
        <v>35</v>
      </c>
      <c r="F342" t="s">
        <v>70</v>
      </c>
      <c r="G342" t="s">
        <v>71</v>
      </c>
      <c r="H342" t="s">
        <v>29</v>
      </c>
      <c r="I342" t="s">
        <v>94</v>
      </c>
      <c r="J342" t="s">
        <v>138</v>
      </c>
      <c r="K342">
        <v>1</v>
      </c>
      <c r="L342" s="2">
        <v>48319.71</v>
      </c>
      <c r="M342">
        <v>0</v>
      </c>
      <c r="N342">
        <v>4192.18</v>
      </c>
    </row>
    <row r="343" spans="1:14" x14ac:dyDescent="0.35">
      <c r="A343" t="s">
        <v>793</v>
      </c>
      <c r="B343" s="1">
        <v>45776</v>
      </c>
      <c r="C343" t="s">
        <v>794</v>
      </c>
      <c r="D343" t="s">
        <v>245</v>
      </c>
      <c r="E343" t="s">
        <v>26</v>
      </c>
      <c r="F343" t="s">
        <v>121</v>
      </c>
      <c r="G343" t="s">
        <v>122</v>
      </c>
      <c r="H343" t="s">
        <v>20</v>
      </c>
      <c r="I343" t="s">
        <v>65</v>
      </c>
      <c r="J343" t="s">
        <v>117</v>
      </c>
      <c r="K343">
        <v>4</v>
      </c>
      <c r="L343" s="2">
        <v>19237.060000000001</v>
      </c>
      <c r="M343">
        <v>0.05</v>
      </c>
      <c r="N343">
        <v>3904.94</v>
      </c>
    </row>
    <row r="344" spans="1:14" x14ac:dyDescent="0.35">
      <c r="A344" t="s">
        <v>795</v>
      </c>
      <c r="B344" s="1">
        <v>45777</v>
      </c>
      <c r="C344" t="s">
        <v>405</v>
      </c>
      <c r="D344" t="s">
        <v>69</v>
      </c>
      <c r="E344" t="s">
        <v>35</v>
      </c>
      <c r="F344" t="s">
        <v>128</v>
      </c>
      <c r="G344" t="s">
        <v>354</v>
      </c>
      <c r="H344" t="s">
        <v>38</v>
      </c>
      <c r="I344" t="s">
        <v>78</v>
      </c>
      <c r="J344" t="s">
        <v>174</v>
      </c>
      <c r="K344">
        <v>1</v>
      </c>
      <c r="L344" s="2">
        <v>450.03</v>
      </c>
      <c r="M344">
        <v>0.05</v>
      </c>
      <c r="N344">
        <v>45.31</v>
      </c>
    </row>
    <row r="345" spans="1:14" x14ac:dyDescent="0.35">
      <c r="A345" t="s">
        <v>796</v>
      </c>
      <c r="B345" s="1">
        <v>45778</v>
      </c>
      <c r="C345" t="s">
        <v>797</v>
      </c>
      <c r="D345" t="s">
        <v>120</v>
      </c>
      <c r="E345" t="s">
        <v>51</v>
      </c>
      <c r="F345" t="s">
        <v>99</v>
      </c>
      <c r="G345" t="s">
        <v>482</v>
      </c>
      <c r="H345" t="s">
        <v>38</v>
      </c>
      <c r="I345" t="s">
        <v>39</v>
      </c>
      <c r="J345" t="s">
        <v>40</v>
      </c>
      <c r="K345">
        <v>3</v>
      </c>
      <c r="L345" s="2">
        <v>1234.4100000000001</v>
      </c>
      <c r="M345">
        <v>0.1</v>
      </c>
      <c r="N345">
        <v>149.78</v>
      </c>
    </row>
    <row r="346" spans="1:14" x14ac:dyDescent="0.35">
      <c r="A346" t="s">
        <v>798</v>
      </c>
      <c r="B346" s="1">
        <v>45778</v>
      </c>
      <c r="C346" t="s">
        <v>299</v>
      </c>
      <c r="D346" t="s">
        <v>103</v>
      </c>
      <c r="E346" t="s">
        <v>35</v>
      </c>
      <c r="F346" t="s">
        <v>36</v>
      </c>
      <c r="G346" t="s">
        <v>255</v>
      </c>
      <c r="H346" t="s">
        <v>38</v>
      </c>
      <c r="I346" t="s">
        <v>218</v>
      </c>
      <c r="J346" t="s">
        <v>219</v>
      </c>
      <c r="K346">
        <v>7</v>
      </c>
      <c r="L346" s="2">
        <v>2252.84</v>
      </c>
      <c r="M346">
        <v>0</v>
      </c>
      <c r="N346">
        <v>174.37</v>
      </c>
    </row>
    <row r="347" spans="1:14" x14ac:dyDescent="0.35">
      <c r="A347" t="s">
        <v>799</v>
      </c>
      <c r="B347" s="1">
        <v>45778</v>
      </c>
      <c r="C347" t="s">
        <v>800</v>
      </c>
      <c r="D347" t="s">
        <v>318</v>
      </c>
      <c r="E347" t="s">
        <v>17</v>
      </c>
      <c r="F347" t="s">
        <v>210</v>
      </c>
      <c r="G347" t="s">
        <v>211</v>
      </c>
      <c r="H347" t="s">
        <v>29</v>
      </c>
      <c r="I347" t="s">
        <v>94</v>
      </c>
      <c r="J347" t="s">
        <v>95</v>
      </c>
      <c r="K347">
        <v>4</v>
      </c>
      <c r="L347" s="2">
        <v>211835.29</v>
      </c>
      <c r="M347">
        <v>0.15</v>
      </c>
      <c r="N347">
        <v>16087.16</v>
      </c>
    </row>
    <row r="348" spans="1:14" x14ac:dyDescent="0.35">
      <c r="A348" t="s">
        <v>801</v>
      </c>
      <c r="B348" s="1">
        <v>45778</v>
      </c>
      <c r="C348" t="s">
        <v>269</v>
      </c>
      <c r="D348" t="s">
        <v>34</v>
      </c>
      <c r="E348" t="s">
        <v>35</v>
      </c>
      <c r="F348" t="s">
        <v>110</v>
      </c>
      <c r="G348" t="s">
        <v>111</v>
      </c>
      <c r="H348" t="s">
        <v>29</v>
      </c>
      <c r="I348" t="s">
        <v>94</v>
      </c>
      <c r="J348" t="s">
        <v>106</v>
      </c>
      <c r="K348">
        <v>5</v>
      </c>
      <c r="L348" s="2">
        <v>308251.21999999997</v>
      </c>
      <c r="M348">
        <v>0.15</v>
      </c>
      <c r="N348">
        <v>34219.449999999997</v>
      </c>
    </row>
    <row r="349" spans="1:14" x14ac:dyDescent="0.35">
      <c r="A349" t="s">
        <v>802</v>
      </c>
      <c r="B349" s="1">
        <v>45778</v>
      </c>
      <c r="C349" t="s">
        <v>328</v>
      </c>
      <c r="D349" t="s">
        <v>551</v>
      </c>
      <c r="E349" t="s">
        <v>17</v>
      </c>
      <c r="F349" t="s">
        <v>210</v>
      </c>
      <c r="G349" t="s">
        <v>211</v>
      </c>
      <c r="H349" t="s">
        <v>29</v>
      </c>
      <c r="I349" t="s">
        <v>58</v>
      </c>
      <c r="J349" t="s">
        <v>59</v>
      </c>
      <c r="K349">
        <v>7</v>
      </c>
      <c r="L349" s="2">
        <v>4856.25</v>
      </c>
      <c r="M349">
        <v>0.2</v>
      </c>
      <c r="N349">
        <v>663.29</v>
      </c>
    </row>
    <row r="350" spans="1:14" x14ac:dyDescent="0.35">
      <c r="A350" t="s">
        <v>803</v>
      </c>
      <c r="B350" s="1">
        <v>45778</v>
      </c>
      <c r="C350" t="s">
        <v>539</v>
      </c>
      <c r="D350" t="s">
        <v>804</v>
      </c>
      <c r="E350" t="s">
        <v>26</v>
      </c>
      <c r="F350" t="s">
        <v>86</v>
      </c>
      <c r="G350" t="s">
        <v>87</v>
      </c>
      <c r="H350" t="s">
        <v>29</v>
      </c>
      <c r="I350" t="s">
        <v>30</v>
      </c>
      <c r="J350" t="s">
        <v>31</v>
      </c>
      <c r="K350">
        <v>6</v>
      </c>
      <c r="L350" s="2">
        <v>87553.279999999999</v>
      </c>
      <c r="M350">
        <v>0.2</v>
      </c>
      <c r="N350">
        <v>9041.61</v>
      </c>
    </row>
    <row r="351" spans="1:14" x14ac:dyDescent="0.35">
      <c r="A351" t="s">
        <v>805</v>
      </c>
      <c r="B351" s="1">
        <v>45778</v>
      </c>
      <c r="C351" t="s">
        <v>681</v>
      </c>
      <c r="D351" t="s">
        <v>724</v>
      </c>
      <c r="E351" t="s">
        <v>35</v>
      </c>
      <c r="F351" t="s">
        <v>70</v>
      </c>
      <c r="G351" t="s">
        <v>71</v>
      </c>
      <c r="H351" t="s">
        <v>38</v>
      </c>
      <c r="I351" t="s">
        <v>218</v>
      </c>
      <c r="J351" t="s">
        <v>225</v>
      </c>
      <c r="K351">
        <v>5</v>
      </c>
      <c r="L351" s="2">
        <v>933.23</v>
      </c>
      <c r="M351">
        <v>0.2</v>
      </c>
      <c r="N351">
        <v>175.04</v>
      </c>
    </row>
    <row r="352" spans="1:14" x14ac:dyDescent="0.35">
      <c r="A352" t="s">
        <v>806</v>
      </c>
      <c r="B352" s="1">
        <v>45779</v>
      </c>
      <c r="C352" t="s">
        <v>623</v>
      </c>
      <c r="D352" t="s">
        <v>792</v>
      </c>
      <c r="E352" t="s">
        <v>35</v>
      </c>
      <c r="F352" t="s">
        <v>110</v>
      </c>
      <c r="G352" t="s">
        <v>111</v>
      </c>
      <c r="H352" t="s">
        <v>29</v>
      </c>
      <c r="I352" t="s">
        <v>58</v>
      </c>
      <c r="J352" t="s">
        <v>59</v>
      </c>
      <c r="K352">
        <v>1</v>
      </c>
      <c r="L352" s="2">
        <v>803.41</v>
      </c>
      <c r="M352">
        <v>0.15</v>
      </c>
      <c r="N352">
        <v>95.47</v>
      </c>
    </row>
    <row r="353" spans="1:14" x14ac:dyDescent="0.35">
      <c r="A353" t="s">
        <v>807</v>
      </c>
      <c r="B353" s="1">
        <v>45779</v>
      </c>
      <c r="C353" t="s">
        <v>560</v>
      </c>
      <c r="D353" t="s">
        <v>245</v>
      </c>
      <c r="E353" t="s">
        <v>35</v>
      </c>
      <c r="F353" t="s">
        <v>110</v>
      </c>
      <c r="G353" t="s">
        <v>111</v>
      </c>
      <c r="H353" t="s">
        <v>38</v>
      </c>
      <c r="I353" t="s">
        <v>78</v>
      </c>
      <c r="J353" t="s">
        <v>174</v>
      </c>
      <c r="K353">
        <v>7</v>
      </c>
      <c r="L353" s="2">
        <v>2822.11</v>
      </c>
      <c r="M353">
        <v>0.05</v>
      </c>
      <c r="N353">
        <v>559.04999999999995</v>
      </c>
    </row>
    <row r="354" spans="1:14" x14ac:dyDescent="0.35">
      <c r="A354" t="s">
        <v>808</v>
      </c>
      <c r="B354" s="1">
        <v>45779</v>
      </c>
      <c r="C354" t="s">
        <v>582</v>
      </c>
      <c r="D354" t="s">
        <v>809</v>
      </c>
      <c r="E354" t="s">
        <v>35</v>
      </c>
      <c r="F354" t="s">
        <v>110</v>
      </c>
      <c r="G354" t="s">
        <v>111</v>
      </c>
      <c r="H354" t="s">
        <v>29</v>
      </c>
      <c r="I354" t="s">
        <v>30</v>
      </c>
      <c r="J354" t="s">
        <v>112</v>
      </c>
      <c r="K354">
        <v>3</v>
      </c>
      <c r="L354" s="2">
        <v>82008.44</v>
      </c>
      <c r="M354">
        <v>0.05</v>
      </c>
      <c r="N354">
        <v>8165.47</v>
      </c>
    </row>
    <row r="355" spans="1:14" x14ac:dyDescent="0.35">
      <c r="A355" t="s">
        <v>810</v>
      </c>
      <c r="B355" s="1">
        <v>45779</v>
      </c>
      <c r="C355" t="s">
        <v>499</v>
      </c>
      <c r="D355" t="s">
        <v>181</v>
      </c>
      <c r="E355" t="s">
        <v>51</v>
      </c>
      <c r="F355" t="s">
        <v>92</v>
      </c>
      <c r="G355" t="s">
        <v>178</v>
      </c>
      <c r="H355" t="s">
        <v>20</v>
      </c>
      <c r="I355" t="s">
        <v>46</v>
      </c>
      <c r="J355" t="s">
        <v>130</v>
      </c>
      <c r="K355">
        <v>6</v>
      </c>
      <c r="L355" s="2">
        <v>43062.32</v>
      </c>
      <c r="M355">
        <v>0.15</v>
      </c>
      <c r="N355">
        <v>3533.87</v>
      </c>
    </row>
    <row r="356" spans="1:14" x14ac:dyDescent="0.35">
      <c r="A356" t="s">
        <v>811</v>
      </c>
      <c r="B356" s="1">
        <v>45781</v>
      </c>
      <c r="C356" t="s">
        <v>42</v>
      </c>
      <c r="D356" t="s">
        <v>812</v>
      </c>
      <c r="E356" t="s">
        <v>35</v>
      </c>
      <c r="F356" t="s">
        <v>110</v>
      </c>
      <c r="G356" t="s">
        <v>111</v>
      </c>
      <c r="H356" t="s">
        <v>29</v>
      </c>
      <c r="I356" t="s">
        <v>58</v>
      </c>
      <c r="J356" t="s">
        <v>88</v>
      </c>
      <c r="K356">
        <v>3</v>
      </c>
      <c r="L356" s="2">
        <v>7479.65</v>
      </c>
      <c r="M356">
        <v>0</v>
      </c>
      <c r="N356">
        <v>810.32</v>
      </c>
    </row>
    <row r="357" spans="1:14" x14ac:dyDescent="0.35">
      <c r="A357" t="s">
        <v>813</v>
      </c>
      <c r="B357" s="1">
        <v>45781</v>
      </c>
      <c r="C357" t="s">
        <v>814</v>
      </c>
      <c r="D357" t="s">
        <v>692</v>
      </c>
      <c r="E357" t="s">
        <v>26</v>
      </c>
      <c r="F357" t="s">
        <v>27</v>
      </c>
      <c r="G357" t="s">
        <v>249</v>
      </c>
      <c r="H357" t="s">
        <v>29</v>
      </c>
      <c r="I357" t="s">
        <v>94</v>
      </c>
      <c r="J357" t="s">
        <v>138</v>
      </c>
      <c r="K357">
        <v>3</v>
      </c>
      <c r="L357" s="2">
        <v>137884.35999999999</v>
      </c>
      <c r="M357">
        <v>0</v>
      </c>
      <c r="N357">
        <v>14441.52</v>
      </c>
    </row>
    <row r="358" spans="1:14" x14ac:dyDescent="0.35">
      <c r="A358" t="s">
        <v>815</v>
      </c>
      <c r="B358" s="1">
        <v>45782</v>
      </c>
      <c r="C358" t="s">
        <v>816</v>
      </c>
      <c r="D358" t="s">
        <v>263</v>
      </c>
      <c r="E358" t="s">
        <v>51</v>
      </c>
      <c r="F358" t="s">
        <v>104</v>
      </c>
      <c r="G358" t="s">
        <v>105</v>
      </c>
      <c r="H358" t="s">
        <v>20</v>
      </c>
      <c r="I358" t="s">
        <v>21</v>
      </c>
      <c r="J358" t="s">
        <v>72</v>
      </c>
      <c r="K358">
        <v>7</v>
      </c>
      <c r="L358" s="2">
        <v>17887.689999999999</v>
      </c>
      <c r="M358">
        <v>0.1</v>
      </c>
      <c r="N358">
        <v>2592.59</v>
      </c>
    </row>
    <row r="359" spans="1:14" x14ac:dyDescent="0.35">
      <c r="A359" t="s">
        <v>817</v>
      </c>
      <c r="B359" s="1">
        <v>45782</v>
      </c>
      <c r="C359" t="s">
        <v>758</v>
      </c>
      <c r="D359" t="s">
        <v>346</v>
      </c>
      <c r="E359" t="s">
        <v>51</v>
      </c>
      <c r="F359" t="s">
        <v>92</v>
      </c>
      <c r="G359" t="s">
        <v>178</v>
      </c>
      <c r="H359" t="s">
        <v>38</v>
      </c>
      <c r="I359" t="s">
        <v>218</v>
      </c>
      <c r="J359" t="s">
        <v>221</v>
      </c>
      <c r="K359">
        <v>4</v>
      </c>
      <c r="L359" s="2">
        <v>618.29999999999995</v>
      </c>
      <c r="M359">
        <v>0.1</v>
      </c>
      <c r="N359">
        <v>25.92</v>
      </c>
    </row>
    <row r="360" spans="1:14" x14ac:dyDescent="0.35">
      <c r="A360" t="s">
        <v>818</v>
      </c>
      <c r="B360" s="1">
        <v>45783</v>
      </c>
      <c r="C360" t="s">
        <v>180</v>
      </c>
      <c r="D360" t="s">
        <v>234</v>
      </c>
      <c r="E360" t="s">
        <v>17</v>
      </c>
      <c r="F360" t="s">
        <v>76</v>
      </c>
      <c r="G360" t="s">
        <v>77</v>
      </c>
      <c r="H360" t="s">
        <v>38</v>
      </c>
      <c r="I360" t="s">
        <v>78</v>
      </c>
      <c r="J360" t="s">
        <v>174</v>
      </c>
      <c r="K360">
        <v>2</v>
      </c>
      <c r="L360" s="2">
        <v>811.3</v>
      </c>
      <c r="M360">
        <v>0.1</v>
      </c>
      <c r="N360">
        <v>123.28</v>
      </c>
    </row>
    <row r="361" spans="1:14" x14ac:dyDescent="0.35">
      <c r="A361" t="s">
        <v>819</v>
      </c>
      <c r="B361" s="1">
        <v>45783</v>
      </c>
      <c r="C361" t="s">
        <v>419</v>
      </c>
      <c r="D361" t="s">
        <v>436</v>
      </c>
      <c r="E361" t="s">
        <v>26</v>
      </c>
      <c r="F361" t="s">
        <v>121</v>
      </c>
      <c r="G361" t="s">
        <v>214</v>
      </c>
      <c r="H361" t="s">
        <v>29</v>
      </c>
      <c r="I361" t="s">
        <v>58</v>
      </c>
      <c r="J361" t="s">
        <v>59</v>
      </c>
      <c r="K361">
        <v>1</v>
      </c>
      <c r="L361" s="2">
        <v>807.73</v>
      </c>
      <c r="M361">
        <v>0.05</v>
      </c>
      <c r="N361">
        <v>44.09</v>
      </c>
    </row>
    <row r="362" spans="1:14" x14ac:dyDescent="0.35">
      <c r="A362" t="s">
        <v>820</v>
      </c>
      <c r="B362" s="1">
        <v>45783</v>
      </c>
      <c r="C362" t="s">
        <v>821</v>
      </c>
      <c r="D362" t="s">
        <v>446</v>
      </c>
      <c r="E362" t="s">
        <v>17</v>
      </c>
      <c r="F362" t="s">
        <v>76</v>
      </c>
      <c r="G362" t="s">
        <v>77</v>
      </c>
      <c r="H362" t="s">
        <v>29</v>
      </c>
      <c r="I362" t="s">
        <v>58</v>
      </c>
      <c r="J362" t="s">
        <v>88</v>
      </c>
      <c r="K362">
        <v>3</v>
      </c>
      <c r="L362" s="2">
        <v>5989.47</v>
      </c>
      <c r="M362">
        <v>0.15</v>
      </c>
      <c r="N362">
        <v>314.58</v>
      </c>
    </row>
    <row r="363" spans="1:14" x14ac:dyDescent="0.35">
      <c r="A363" t="s">
        <v>822</v>
      </c>
      <c r="B363" s="1">
        <v>45784</v>
      </c>
      <c r="C363" t="s">
        <v>472</v>
      </c>
      <c r="D363" t="s">
        <v>823</v>
      </c>
      <c r="E363" t="s">
        <v>35</v>
      </c>
      <c r="F363" t="s">
        <v>110</v>
      </c>
      <c r="G363" t="s">
        <v>111</v>
      </c>
      <c r="H363" t="s">
        <v>20</v>
      </c>
      <c r="I363" t="s">
        <v>46</v>
      </c>
      <c r="J363" t="s">
        <v>47</v>
      </c>
      <c r="K363">
        <v>5</v>
      </c>
      <c r="L363" s="2">
        <v>31030.07</v>
      </c>
      <c r="M363">
        <v>0.15</v>
      </c>
      <c r="N363">
        <v>4609.12</v>
      </c>
    </row>
    <row r="364" spans="1:14" x14ac:dyDescent="0.35">
      <c r="A364" t="s">
        <v>824</v>
      </c>
      <c r="B364" s="1">
        <v>45784</v>
      </c>
      <c r="C364" t="s">
        <v>825</v>
      </c>
      <c r="D364" t="s">
        <v>357</v>
      </c>
      <c r="E364" t="s">
        <v>35</v>
      </c>
      <c r="F364" t="s">
        <v>36</v>
      </c>
      <c r="G364" t="s">
        <v>37</v>
      </c>
      <c r="H364" t="s">
        <v>20</v>
      </c>
      <c r="I364" t="s">
        <v>21</v>
      </c>
      <c r="J364" t="s">
        <v>22</v>
      </c>
      <c r="K364">
        <v>4</v>
      </c>
      <c r="L364" s="2">
        <v>26246.47</v>
      </c>
      <c r="M364">
        <v>0.05</v>
      </c>
      <c r="N364">
        <v>3255.6</v>
      </c>
    </row>
    <row r="365" spans="1:14" x14ac:dyDescent="0.35">
      <c r="A365" t="s">
        <v>826</v>
      </c>
      <c r="B365" s="1">
        <v>45785</v>
      </c>
      <c r="C365" t="s">
        <v>311</v>
      </c>
      <c r="D365" t="s">
        <v>461</v>
      </c>
      <c r="E365" t="s">
        <v>35</v>
      </c>
      <c r="F365" t="s">
        <v>128</v>
      </c>
      <c r="G365" t="s">
        <v>354</v>
      </c>
      <c r="H365" t="s">
        <v>20</v>
      </c>
      <c r="I365" t="s">
        <v>65</v>
      </c>
      <c r="J365" t="s">
        <v>66</v>
      </c>
      <c r="K365">
        <v>2</v>
      </c>
      <c r="L365" s="2">
        <v>16894.900000000001</v>
      </c>
      <c r="M365">
        <v>0.15</v>
      </c>
      <c r="N365">
        <v>1294.5899999999999</v>
      </c>
    </row>
    <row r="366" spans="1:14" x14ac:dyDescent="0.35">
      <c r="A366" t="s">
        <v>827</v>
      </c>
      <c r="B366" s="1">
        <v>45785</v>
      </c>
      <c r="C366" t="s">
        <v>147</v>
      </c>
      <c r="D366" t="s">
        <v>141</v>
      </c>
      <c r="E366" t="s">
        <v>26</v>
      </c>
      <c r="F366" t="s">
        <v>44</v>
      </c>
      <c r="G366" t="s">
        <v>45</v>
      </c>
      <c r="H366" t="s">
        <v>29</v>
      </c>
      <c r="I366" t="s">
        <v>58</v>
      </c>
      <c r="J366" t="s">
        <v>300</v>
      </c>
      <c r="K366">
        <v>1</v>
      </c>
      <c r="L366" s="2">
        <v>1456.22</v>
      </c>
      <c r="M366">
        <v>0.1</v>
      </c>
      <c r="N366">
        <v>77.3</v>
      </c>
    </row>
    <row r="367" spans="1:14" x14ac:dyDescent="0.35">
      <c r="A367" t="s">
        <v>828</v>
      </c>
      <c r="B367" s="1">
        <v>45785</v>
      </c>
      <c r="C367" t="s">
        <v>251</v>
      </c>
      <c r="D367" t="s">
        <v>361</v>
      </c>
      <c r="E367" t="s">
        <v>35</v>
      </c>
      <c r="F367" t="s">
        <v>70</v>
      </c>
      <c r="G367" t="s">
        <v>71</v>
      </c>
      <c r="H367" t="s">
        <v>29</v>
      </c>
      <c r="I367" t="s">
        <v>58</v>
      </c>
      <c r="J367" t="s">
        <v>88</v>
      </c>
      <c r="K367">
        <v>3</v>
      </c>
      <c r="L367" s="2">
        <v>6664.64</v>
      </c>
      <c r="M367">
        <v>0.05</v>
      </c>
      <c r="N367">
        <v>1461.52</v>
      </c>
    </row>
    <row r="368" spans="1:14" x14ac:dyDescent="0.35">
      <c r="A368" t="s">
        <v>829</v>
      </c>
      <c r="B368" s="1">
        <v>45785</v>
      </c>
      <c r="C368" t="s">
        <v>830</v>
      </c>
      <c r="D368" t="s">
        <v>177</v>
      </c>
      <c r="E368" t="s">
        <v>35</v>
      </c>
      <c r="F368" t="s">
        <v>36</v>
      </c>
      <c r="G368" t="s">
        <v>37</v>
      </c>
      <c r="H368" t="s">
        <v>38</v>
      </c>
      <c r="I368" t="s">
        <v>78</v>
      </c>
      <c r="J368" t="s">
        <v>174</v>
      </c>
      <c r="K368">
        <v>5</v>
      </c>
      <c r="L368" s="2">
        <v>2085.71</v>
      </c>
      <c r="M368">
        <v>0.1</v>
      </c>
      <c r="N368">
        <v>321.18</v>
      </c>
    </row>
    <row r="369" spans="1:14" x14ac:dyDescent="0.35">
      <c r="A369" t="s">
        <v>831</v>
      </c>
      <c r="B369" s="1">
        <v>45787</v>
      </c>
      <c r="C369" t="s">
        <v>414</v>
      </c>
      <c r="D369" t="s">
        <v>336</v>
      </c>
      <c r="E369" t="s">
        <v>26</v>
      </c>
      <c r="F369" t="s">
        <v>44</v>
      </c>
      <c r="G369" t="s">
        <v>45</v>
      </c>
      <c r="H369" t="s">
        <v>20</v>
      </c>
      <c r="I369" t="s">
        <v>46</v>
      </c>
      <c r="J369" t="s">
        <v>130</v>
      </c>
      <c r="K369">
        <v>3</v>
      </c>
      <c r="L369" s="2">
        <v>21823.279999999999</v>
      </c>
      <c r="M369">
        <v>0.1</v>
      </c>
      <c r="N369">
        <v>2724.32</v>
      </c>
    </row>
    <row r="370" spans="1:14" x14ac:dyDescent="0.35">
      <c r="A370" t="s">
        <v>832</v>
      </c>
      <c r="B370" s="1">
        <v>45787</v>
      </c>
      <c r="C370" t="s">
        <v>833</v>
      </c>
      <c r="D370" t="s">
        <v>739</v>
      </c>
      <c r="E370" t="s">
        <v>17</v>
      </c>
      <c r="F370" t="s">
        <v>18</v>
      </c>
      <c r="G370" t="s">
        <v>19</v>
      </c>
      <c r="H370" t="s">
        <v>29</v>
      </c>
      <c r="I370" t="s">
        <v>30</v>
      </c>
      <c r="J370" t="s">
        <v>182</v>
      </c>
      <c r="K370">
        <v>7</v>
      </c>
      <c r="L370" s="2">
        <v>257644.19</v>
      </c>
      <c r="M370">
        <v>0.15</v>
      </c>
      <c r="N370">
        <v>17967.73</v>
      </c>
    </row>
    <row r="371" spans="1:14" x14ac:dyDescent="0.35">
      <c r="A371" t="s">
        <v>834</v>
      </c>
      <c r="B371" s="1">
        <v>45787</v>
      </c>
      <c r="C371" t="s">
        <v>835</v>
      </c>
      <c r="D371" t="s">
        <v>836</v>
      </c>
      <c r="E371" t="s">
        <v>26</v>
      </c>
      <c r="F371" t="s">
        <v>86</v>
      </c>
      <c r="G371" t="s">
        <v>87</v>
      </c>
      <c r="H371" t="s">
        <v>20</v>
      </c>
      <c r="I371" t="s">
        <v>21</v>
      </c>
      <c r="J371" t="s">
        <v>72</v>
      </c>
      <c r="K371">
        <v>5</v>
      </c>
      <c r="L371" s="2">
        <v>11304.45</v>
      </c>
      <c r="M371">
        <v>0.2</v>
      </c>
      <c r="N371">
        <v>336.68</v>
      </c>
    </row>
    <row r="372" spans="1:14" x14ac:dyDescent="0.35">
      <c r="A372" t="s">
        <v>837</v>
      </c>
      <c r="B372" s="1">
        <v>45788</v>
      </c>
      <c r="C372" t="s">
        <v>629</v>
      </c>
      <c r="D372" t="s">
        <v>838</v>
      </c>
      <c r="E372" t="s">
        <v>35</v>
      </c>
      <c r="F372" t="s">
        <v>36</v>
      </c>
      <c r="G372" t="s">
        <v>37</v>
      </c>
      <c r="H372" t="s">
        <v>38</v>
      </c>
      <c r="I372" t="s">
        <v>218</v>
      </c>
      <c r="J372" t="s">
        <v>225</v>
      </c>
      <c r="K372">
        <v>1</v>
      </c>
      <c r="L372" s="2">
        <v>222.31</v>
      </c>
      <c r="M372">
        <v>0.05</v>
      </c>
      <c r="N372">
        <v>21.99</v>
      </c>
    </row>
    <row r="373" spans="1:14" x14ac:dyDescent="0.35">
      <c r="A373" t="s">
        <v>839</v>
      </c>
      <c r="B373" s="1">
        <v>45788</v>
      </c>
      <c r="C373" t="s">
        <v>661</v>
      </c>
      <c r="D373" t="s">
        <v>609</v>
      </c>
      <c r="E373" t="s">
        <v>51</v>
      </c>
      <c r="F373" t="s">
        <v>99</v>
      </c>
      <c r="G373" t="s">
        <v>231</v>
      </c>
      <c r="H373" t="s">
        <v>20</v>
      </c>
      <c r="I373" t="s">
        <v>65</v>
      </c>
      <c r="J373" t="s">
        <v>142</v>
      </c>
      <c r="K373">
        <v>6</v>
      </c>
      <c r="L373" s="2">
        <v>106191.51</v>
      </c>
      <c r="M373">
        <v>0.15</v>
      </c>
      <c r="N373">
        <v>19514.490000000002</v>
      </c>
    </row>
    <row r="374" spans="1:14" x14ac:dyDescent="0.35">
      <c r="A374" t="s">
        <v>840</v>
      </c>
      <c r="B374" s="1">
        <v>45788</v>
      </c>
      <c r="C374" t="s">
        <v>309</v>
      </c>
      <c r="D374" t="s">
        <v>287</v>
      </c>
      <c r="E374" t="s">
        <v>26</v>
      </c>
      <c r="F374" t="s">
        <v>44</v>
      </c>
      <c r="G374" t="s">
        <v>116</v>
      </c>
      <c r="H374" t="s">
        <v>29</v>
      </c>
      <c r="I374" t="s">
        <v>94</v>
      </c>
      <c r="J374" t="s">
        <v>95</v>
      </c>
      <c r="K374">
        <v>3</v>
      </c>
      <c r="L374" s="2">
        <v>200770.9</v>
      </c>
      <c r="M374">
        <v>0</v>
      </c>
      <c r="N374">
        <v>47274.07</v>
      </c>
    </row>
    <row r="375" spans="1:14" x14ac:dyDescent="0.35">
      <c r="A375" t="s">
        <v>841</v>
      </c>
      <c r="B375" s="1">
        <v>45789</v>
      </c>
      <c r="C375" t="s">
        <v>445</v>
      </c>
      <c r="D375" t="s">
        <v>184</v>
      </c>
      <c r="E375" t="s">
        <v>17</v>
      </c>
      <c r="F375" t="s">
        <v>185</v>
      </c>
      <c r="G375" t="s">
        <v>528</v>
      </c>
      <c r="H375" t="s">
        <v>29</v>
      </c>
      <c r="I375" t="s">
        <v>30</v>
      </c>
      <c r="J375" t="s">
        <v>182</v>
      </c>
      <c r="K375">
        <v>7</v>
      </c>
      <c r="L375" s="2">
        <v>274083.77</v>
      </c>
      <c r="M375">
        <v>0</v>
      </c>
      <c r="N375">
        <v>56431.92</v>
      </c>
    </row>
    <row r="376" spans="1:14" x14ac:dyDescent="0.35">
      <c r="A376" t="s">
        <v>842</v>
      </c>
      <c r="B376" s="1">
        <v>45789</v>
      </c>
      <c r="C376" t="s">
        <v>843</v>
      </c>
      <c r="D376" t="s">
        <v>455</v>
      </c>
      <c r="E376" t="s">
        <v>35</v>
      </c>
      <c r="F376" t="s">
        <v>110</v>
      </c>
      <c r="G376" t="s">
        <v>111</v>
      </c>
      <c r="H376" t="s">
        <v>29</v>
      </c>
      <c r="I376" t="s">
        <v>58</v>
      </c>
      <c r="J376" t="s">
        <v>59</v>
      </c>
      <c r="K376">
        <v>1</v>
      </c>
      <c r="L376" s="2">
        <v>925.29</v>
      </c>
      <c r="M376">
        <v>0</v>
      </c>
      <c r="N376">
        <v>61.86</v>
      </c>
    </row>
    <row r="377" spans="1:14" x14ac:dyDescent="0.35">
      <c r="A377" t="s">
        <v>844</v>
      </c>
      <c r="B377" s="1">
        <v>45789</v>
      </c>
      <c r="C377" t="s">
        <v>452</v>
      </c>
      <c r="D377" t="s">
        <v>184</v>
      </c>
      <c r="E377" t="s">
        <v>26</v>
      </c>
      <c r="F377" t="s">
        <v>27</v>
      </c>
      <c r="G377" t="s">
        <v>28</v>
      </c>
      <c r="H377" t="s">
        <v>29</v>
      </c>
      <c r="I377" t="s">
        <v>58</v>
      </c>
      <c r="J377" t="s">
        <v>88</v>
      </c>
      <c r="K377">
        <v>3</v>
      </c>
      <c r="L377" s="2">
        <v>6842.57</v>
      </c>
      <c r="M377">
        <v>0.05</v>
      </c>
      <c r="N377">
        <v>1000.11</v>
      </c>
    </row>
    <row r="378" spans="1:14" x14ac:dyDescent="0.35">
      <c r="A378" t="s">
        <v>845</v>
      </c>
      <c r="B378" s="1">
        <v>45789</v>
      </c>
      <c r="C378" t="s">
        <v>199</v>
      </c>
      <c r="D378" t="s">
        <v>315</v>
      </c>
      <c r="E378" t="s">
        <v>26</v>
      </c>
      <c r="F378" t="s">
        <v>121</v>
      </c>
      <c r="G378" t="s">
        <v>122</v>
      </c>
      <c r="H378" t="s">
        <v>38</v>
      </c>
      <c r="I378" t="s">
        <v>78</v>
      </c>
      <c r="J378" t="s">
        <v>307</v>
      </c>
      <c r="K378">
        <v>1</v>
      </c>
      <c r="L378" s="2">
        <v>530.36</v>
      </c>
      <c r="M378">
        <v>0</v>
      </c>
      <c r="N378">
        <v>36.22</v>
      </c>
    </row>
    <row r="379" spans="1:14" x14ac:dyDescent="0.35">
      <c r="A379" t="s">
        <v>846</v>
      </c>
      <c r="B379" s="1">
        <v>45790</v>
      </c>
      <c r="C379" t="s">
        <v>847</v>
      </c>
      <c r="D379" t="s">
        <v>739</v>
      </c>
      <c r="E379" t="s">
        <v>35</v>
      </c>
      <c r="F379" t="s">
        <v>70</v>
      </c>
      <c r="G379" t="s">
        <v>71</v>
      </c>
      <c r="H379" t="s">
        <v>38</v>
      </c>
      <c r="I379" t="s">
        <v>39</v>
      </c>
      <c r="J379" t="s">
        <v>258</v>
      </c>
      <c r="K379">
        <v>4</v>
      </c>
      <c r="L379" s="2">
        <v>2629.56</v>
      </c>
      <c r="M379">
        <v>0.05</v>
      </c>
      <c r="N379">
        <v>531.84</v>
      </c>
    </row>
    <row r="380" spans="1:14" x14ac:dyDescent="0.35">
      <c r="A380" t="s">
        <v>848</v>
      </c>
      <c r="B380" s="1">
        <v>45790</v>
      </c>
      <c r="C380" t="s">
        <v>666</v>
      </c>
      <c r="D380" t="s">
        <v>616</v>
      </c>
      <c r="E380" t="s">
        <v>35</v>
      </c>
      <c r="F380" t="s">
        <v>128</v>
      </c>
      <c r="G380" t="s">
        <v>354</v>
      </c>
      <c r="H380" t="s">
        <v>38</v>
      </c>
      <c r="I380" t="s">
        <v>78</v>
      </c>
      <c r="J380" t="s">
        <v>174</v>
      </c>
      <c r="K380">
        <v>6</v>
      </c>
      <c r="L380" s="2">
        <v>2492.23</v>
      </c>
      <c r="M380">
        <v>0.05</v>
      </c>
      <c r="N380">
        <v>413.92</v>
      </c>
    </row>
    <row r="381" spans="1:14" x14ac:dyDescent="0.35">
      <c r="A381" t="s">
        <v>849</v>
      </c>
      <c r="B381" s="1">
        <v>45791</v>
      </c>
      <c r="C381" t="s">
        <v>265</v>
      </c>
      <c r="D381" t="s">
        <v>591</v>
      </c>
      <c r="E381" t="s">
        <v>26</v>
      </c>
      <c r="F381" t="s">
        <v>121</v>
      </c>
      <c r="G381" t="s">
        <v>214</v>
      </c>
      <c r="H381" t="s">
        <v>29</v>
      </c>
      <c r="I381" t="s">
        <v>58</v>
      </c>
      <c r="J381" t="s">
        <v>300</v>
      </c>
      <c r="K381">
        <v>5</v>
      </c>
      <c r="L381" s="2">
        <v>6700.43</v>
      </c>
      <c r="M381">
        <v>0.05</v>
      </c>
      <c r="N381">
        <v>828.41</v>
      </c>
    </row>
    <row r="382" spans="1:14" x14ac:dyDescent="0.35">
      <c r="A382" t="s">
        <v>850</v>
      </c>
      <c r="B382" s="1">
        <v>45791</v>
      </c>
      <c r="C382" t="s">
        <v>830</v>
      </c>
      <c r="D382" t="s">
        <v>181</v>
      </c>
      <c r="E382" t="s">
        <v>51</v>
      </c>
      <c r="F382" t="s">
        <v>52</v>
      </c>
      <c r="G382" t="s">
        <v>57</v>
      </c>
      <c r="H382" t="s">
        <v>29</v>
      </c>
      <c r="I382" t="s">
        <v>58</v>
      </c>
      <c r="J382" t="s">
        <v>59</v>
      </c>
      <c r="K382">
        <v>2</v>
      </c>
      <c r="L382" s="2">
        <v>1739.44</v>
      </c>
      <c r="M382">
        <v>0</v>
      </c>
      <c r="N382">
        <v>179.12</v>
      </c>
    </row>
    <row r="383" spans="1:14" x14ac:dyDescent="0.35">
      <c r="A383" t="s">
        <v>851</v>
      </c>
      <c r="B383" s="1">
        <v>45792</v>
      </c>
      <c r="C383" t="s">
        <v>477</v>
      </c>
      <c r="D383" t="s">
        <v>217</v>
      </c>
      <c r="E383" t="s">
        <v>26</v>
      </c>
      <c r="F383" t="s">
        <v>121</v>
      </c>
      <c r="G383" t="s">
        <v>122</v>
      </c>
      <c r="H383" t="s">
        <v>20</v>
      </c>
      <c r="I383" t="s">
        <v>21</v>
      </c>
      <c r="J383" t="s">
        <v>197</v>
      </c>
      <c r="K383">
        <v>6</v>
      </c>
      <c r="L383" s="2">
        <v>57454.32</v>
      </c>
      <c r="M383">
        <v>0.15</v>
      </c>
      <c r="N383">
        <v>9848.82</v>
      </c>
    </row>
    <row r="384" spans="1:14" x14ac:dyDescent="0.35">
      <c r="A384" t="s">
        <v>852</v>
      </c>
      <c r="B384" s="1">
        <v>45793</v>
      </c>
      <c r="C384" t="s">
        <v>853</v>
      </c>
      <c r="D384" t="s">
        <v>391</v>
      </c>
      <c r="E384" t="s">
        <v>17</v>
      </c>
      <c r="F384" t="s">
        <v>18</v>
      </c>
      <c r="G384" t="s">
        <v>19</v>
      </c>
      <c r="H384" t="s">
        <v>20</v>
      </c>
      <c r="I384" t="s">
        <v>21</v>
      </c>
      <c r="J384" t="s">
        <v>22</v>
      </c>
      <c r="K384">
        <v>3</v>
      </c>
      <c r="L384" s="2">
        <v>15970.54</v>
      </c>
      <c r="M384">
        <v>0.2</v>
      </c>
      <c r="N384">
        <v>1410.64</v>
      </c>
    </row>
    <row r="385" spans="1:14" x14ac:dyDescent="0.35">
      <c r="A385" t="s">
        <v>854</v>
      </c>
      <c r="B385" s="1">
        <v>45794</v>
      </c>
      <c r="C385" t="s">
        <v>855</v>
      </c>
      <c r="D385" t="s">
        <v>433</v>
      </c>
      <c r="E385" t="s">
        <v>51</v>
      </c>
      <c r="F385" t="s">
        <v>104</v>
      </c>
      <c r="G385" t="s">
        <v>105</v>
      </c>
      <c r="H385" t="s">
        <v>20</v>
      </c>
      <c r="I385" t="s">
        <v>21</v>
      </c>
      <c r="J385" t="s">
        <v>197</v>
      </c>
      <c r="K385">
        <v>2</v>
      </c>
      <c r="L385" s="2">
        <v>20356.05</v>
      </c>
      <c r="M385">
        <v>0.2</v>
      </c>
      <c r="N385">
        <v>782.94</v>
      </c>
    </row>
    <row r="386" spans="1:14" x14ac:dyDescent="0.35">
      <c r="A386" t="s">
        <v>856</v>
      </c>
      <c r="B386" s="1">
        <v>45794</v>
      </c>
      <c r="C386" t="s">
        <v>675</v>
      </c>
      <c r="D386" t="s">
        <v>474</v>
      </c>
      <c r="E386" t="s">
        <v>26</v>
      </c>
      <c r="F386" t="s">
        <v>44</v>
      </c>
      <c r="G386" t="s">
        <v>116</v>
      </c>
      <c r="H386" t="s">
        <v>38</v>
      </c>
      <c r="I386" t="s">
        <v>218</v>
      </c>
      <c r="J386" t="s">
        <v>225</v>
      </c>
      <c r="K386">
        <v>2</v>
      </c>
      <c r="L386" s="2">
        <v>539.17999999999995</v>
      </c>
      <c r="M386">
        <v>0</v>
      </c>
      <c r="N386">
        <v>35.26</v>
      </c>
    </row>
    <row r="387" spans="1:14" x14ac:dyDescent="0.35">
      <c r="A387" t="s">
        <v>857</v>
      </c>
      <c r="B387" s="1">
        <v>45794</v>
      </c>
      <c r="C387" t="s">
        <v>531</v>
      </c>
      <c r="D387" t="s">
        <v>284</v>
      </c>
      <c r="E387" t="s">
        <v>51</v>
      </c>
      <c r="F387" t="s">
        <v>63</v>
      </c>
      <c r="G387" t="s">
        <v>324</v>
      </c>
      <c r="H387" t="s">
        <v>38</v>
      </c>
      <c r="I387" t="s">
        <v>218</v>
      </c>
      <c r="J387" t="s">
        <v>219</v>
      </c>
      <c r="K387">
        <v>5</v>
      </c>
      <c r="L387" s="2">
        <v>1659.31</v>
      </c>
      <c r="M387">
        <v>0</v>
      </c>
      <c r="N387">
        <v>145.6</v>
      </c>
    </row>
    <row r="388" spans="1:14" x14ac:dyDescent="0.35">
      <c r="A388" t="s">
        <v>858</v>
      </c>
      <c r="B388" s="1">
        <v>45794</v>
      </c>
      <c r="C388" t="s">
        <v>859</v>
      </c>
      <c r="D388" t="s">
        <v>860</v>
      </c>
      <c r="E388" t="s">
        <v>17</v>
      </c>
      <c r="F388" t="s">
        <v>76</v>
      </c>
      <c r="G388" t="s">
        <v>77</v>
      </c>
      <c r="H388" t="s">
        <v>29</v>
      </c>
      <c r="I388" t="s">
        <v>58</v>
      </c>
      <c r="J388" t="s">
        <v>59</v>
      </c>
      <c r="K388">
        <v>3</v>
      </c>
      <c r="L388" s="2">
        <v>2724.54</v>
      </c>
      <c r="M388">
        <v>0</v>
      </c>
      <c r="N388">
        <v>487.9</v>
      </c>
    </row>
    <row r="389" spans="1:14" x14ac:dyDescent="0.35">
      <c r="A389" t="s">
        <v>861</v>
      </c>
      <c r="B389" s="1">
        <v>45795</v>
      </c>
      <c r="C389" t="s">
        <v>481</v>
      </c>
      <c r="D389" t="s">
        <v>279</v>
      </c>
      <c r="E389" t="s">
        <v>26</v>
      </c>
      <c r="F389" t="s">
        <v>86</v>
      </c>
      <c r="G389" t="s">
        <v>87</v>
      </c>
      <c r="H389" t="s">
        <v>20</v>
      </c>
      <c r="I389" t="s">
        <v>46</v>
      </c>
      <c r="J389" t="s">
        <v>203</v>
      </c>
      <c r="K389">
        <v>1</v>
      </c>
      <c r="L389" s="2">
        <v>4715.24</v>
      </c>
      <c r="M389">
        <v>0.05</v>
      </c>
      <c r="N389">
        <v>701.39</v>
      </c>
    </row>
    <row r="390" spans="1:14" x14ac:dyDescent="0.35">
      <c r="A390" t="s">
        <v>862</v>
      </c>
      <c r="B390" s="1">
        <v>45795</v>
      </c>
      <c r="C390" t="s">
        <v>460</v>
      </c>
      <c r="D390" t="s">
        <v>823</v>
      </c>
      <c r="E390" t="s">
        <v>35</v>
      </c>
      <c r="F390" t="s">
        <v>128</v>
      </c>
      <c r="G390" t="s">
        <v>354</v>
      </c>
      <c r="H390" t="s">
        <v>29</v>
      </c>
      <c r="I390" t="s">
        <v>58</v>
      </c>
      <c r="J390" t="s">
        <v>88</v>
      </c>
      <c r="K390">
        <v>2</v>
      </c>
      <c r="L390" s="2">
        <v>4589.72</v>
      </c>
      <c r="M390">
        <v>0.1</v>
      </c>
      <c r="N390">
        <v>897.74</v>
      </c>
    </row>
    <row r="391" spans="1:14" x14ac:dyDescent="0.35">
      <c r="A391" t="s">
        <v>863</v>
      </c>
      <c r="B391" s="1">
        <v>45795</v>
      </c>
      <c r="C391" t="s">
        <v>864</v>
      </c>
      <c r="D391" t="s">
        <v>679</v>
      </c>
      <c r="E391" t="s">
        <v>35</v>
      </c>
      <c r="F391" t="s">
        <v>36</v>
      </c>
      <c r="G391" t="s">
        <v>37</v>
      </c>
      <c r="H391" t="s">
        <v>29</v>
      </c>
      <c r="I391" t="s">
        <v>58</v>
      </c>
      <c r="J391" t="s">
        <v>88</v>
      </c>
      <c r="K391">
        <v>2</v>
      </c>
      <c r="L391" s="2">
        <v>5273.21</v>
      </c>
      <c r="M391">
        <v>0</v>
      </c>
      <c r="N391">
        <v>326.86</v>
      </c>
    </row>
    <row r="392" spans="1:14" x14ac:dyDescent="0.35">
      <c r="A392" t="s">
        <v>865</v>
      </c>
      <c r="B392" s="1">
        <v>45796</v>
      </c>
      <c r="C392" t="s">
        <v>454</v>
      </c>
      <c r="D392" t="s">
        <v>323</v>
      </c>
      <c r="E392" t="s">
        <v>26</v>
      </c>
      <c r="F392" t="s">
        <v>86</v>
      </c>
      <c r="G392" t="s">
        <v>87</v>
      </c>
      <c r="H392" t="s">
        <v>29</v>
      </c>
      <c r="I392" t="s">
        <v>58</v>
      </c>
      <c r="J392" t="s">
        <v>300</v>
      </c>
      <c r="K392">
        <v>5</v>
      </c>
      <c r="L392" s="2">
        <v>7925.97</v>
      </c>
      <c r="M392">
        <v>0</v>
      </c>
      <c r="N392">
        <v>1734.68</v>
      </c>
    </row>
    <row r="393" spans="1:14" x14ac:dyDescent="0.35">
      <c r="A393" t="s">
        <v>866</v>
      </c>
      <c r="B393" s="1">
        <v>45796</v>
      </c>
      <c r="C393" t="s">
        <v>867</v>
      </c>
      <c r="D393" t="s">
        <v>168</v>
      </c>
      <c r="E393" t="s">
        <v>26</v>
      </c>
      <c r="F393" t="s">
        <v>121</v>
      </c>
      <c r="G393" t="s">
        <v>214</v>
      </c>
      <c r="H393" t="s">
        <v>20</v>
      </c>
      <c r="I393" t="s">
        <v>65</v>
      </c>
      <c r="J393" t="s">
        <v>142</v>
      </c>
      <c r="K393">
        <v>3</v>
      </c>
      <c r="L393" s="2">
        <v>67526.37</v>
      </c>
      <c r="M393">
        <v>0.05</v>
      </c>
      <c r="N393">
        <v>12375.43</v>
      </c>
    </row>
    <row r="394" spans="1:14" x14ac:dyDescent="0.35">
      <c r="A394" t="s">
        <v>868</v>
      </c>
      <c r="B394" s="1">
        <v>45797</v>
      </c>
      <c r="C394" t="s">
        <v>460</v>
      </c>
      <c r="D394" t="s">
        <v>860</v>
      </c>
      <c r="E394" t="s">
        <v>26</v>
      </c>
      <c r="F394" t="s">
        <v>44</v>
      </c>
      <c r="G394" t="s">
        <v>116</v>
      </c>
      <c r="H394" t="s">
        <v>29</v>
      </c>
      <c r="I394" t="s">
        <v>94</v>
      </c>
      <c r="J394" t="s">
        <v>106</v>
      </c>
      <c r="K394">
        <v>1</v>
      </c>
      <c r="L394" s="2">
        <v>77442.94</v>
      </c>
      <c r="M394">
        <v>0</v>
      </c>
      <c r="N394">
        <v>15944.3</v>
      </c>
    </row>
    <row r="395" spans="1:14" x14ac:dyDescent="0.35">
      <c r="A395" t="s">
        <v>869</v>
      </c>
      <c r="B395" s="1">
        <v>45797</v>
      </c>
      <c r="C395" t="s">
        <v>430</v>
      </c>
      <c r="D395" t="s">
        <v>394</v>
      </c>
      <c r="E395" t="s">
        <v>26</v>
      </c>
      <c r="F395" t="s">
        <v>121</v>
      </c>
      <c r="G395" t="s">
        <v>122</v>
      </c>
      <c r="H395" t="s">
        <v>20</v>
      </c>
      <c r="I395" t="s">
        <v>21</v>
      </c>
      <c r="J395" t="s">
        <v>197</v>
      </c>
      <c r="K395">
        <v>6</v>
      </c>
      <c r="L395" s="2">
        <v>60839.65</v>
      </c>
      <c r="M395">
        <v>0.15</v>
      </c>
      <c r="N395">
        <v>7156.51</v>
      </c>
    </row>
    <row r="396" spans="1:14" x14ac:dyDescent="0.35">
      <c r="A396" t="s">
        <v>870</v>
      </c>
      <c r="B396" s="1">
        <v>45798</v>
      </c>
      <c r="C396" t="s">
        <v>871</v>
      </c>
      <c r="D396" t="s">
        <v>689</v>
      </c>
      <c r="E396" t="s">
        <v>51</v>
      </c>
      <c r="F396" t="s">
        <v>63</v>
      </c>
      <c r="G396" t="s">
        <v>324</v>
      </c>
      <c r="H396" t="s">
        <v>38</v>
      </c>
      <c r="I396" t="s">
        <v>39</v>
      </c>
      <c r="J396" t="s">
        <v>40</v>
      </c>
      <c r="K396">
        <v>6</v>
      </c>
      <c r="L396" s="2">
        <v>2667.32</v>
      </c>
      <c r="M396">
        <v>0.05</v>
      </c>
      <c r="N396">
        <v>249.51</v>
      </c>
    </row>
    <row r="397" spans="1:14" x14ac:dyDescent="0.35">
      <c r="A397" t="s">
        <v>872</v>
      </c>
      <c r="B397" s="1">
        <v>45798</v>
      </c>
      <c r="C397" t="s">
        <v>843</v>
      </c>
      <c r="D397" t="s">
        <v>352</v>
      </c>
      <c r="E397" t="s">
        <v>35</v>
      </c>
      <c r="F397" t="s">
        <v>70</v>
      </c>
      <c r="G397" t="s">
        <v>71</v>
      </c>
      <c r="H397" t="s">
        <v>20</v>
      </c>
      <c r="I397" t="s">
        <v>65</v>
      </c>
      <c r="J397" t="s">
        <v>117</v>
      </c>
      <c r="K397">
        <v>6</v>
      </c>
      <c r="L397" s="2">
        <v>32429.29</v>
      </c>
      <c r="M397">
        <v>0</v>
      </c>
      <c r="N397">
        <v>6015.29</v>
      </c>
    </row>
    <row r="398" spans="1:14" x14ac:dyDescent="0.35">
      <c r="A398" t="s">
        <v>873</v>
      </c>
      <c r="B398" s="1">
        <v>45798</v>
      </c>
      <c r="C398" t="s">
        <v>874</v>
      </c>
      <c r="D398" t="s">
        <v>424</v>
      </c>
      <c r="E398" t="s">
        <v>35</v>
      </c>
      <c r="F398" t="s">
        <v>36</v>
      </c>
      <c r="G398" t="s">
        <v>37</v>
      </c>
      <c r="H398" t="s">
        <v>29</v>
      </c>
      <c r="I398" t="s">
        <v>58</v>
      </c>
      <c r="J398" t="s">
        <v>88</v>
      </c>
      <c r="K398">
        <v>6</v>
      </c>
      <c r="L398" s="2">
        <v>14469.8</v>
      </c>
      <c r="M398">
        <v>0.1</v>
      </c>
      <c r="N398">
        <v>950.09</v>
      </c>
    </row>
    <row r="399" spans="1:14" x14ac:dyDescent="0.35">
      <c r="A399" t="s">
        <v>875</v>
      </c>
      <c r="B399" s="1">
        <v>45798</v>
      </c>
      <c r="C399" t="s">
        <v>331</v>
      </c>
      <c r="D399" t="s">
        <v>193</v>
      </c>
      <c r="E399" t="s">
        <v>51</v>
      </c>
      <c r="F399" t="s">
        <v>52</v>
      </c>
      <c r="G399" t="s">
        <v>53</v>
      </c>
      <c r="H399" t="s">
        <v>29</v>
      </c>
      <c r="I399" t="s">
        <v>58</v>
      </c>
      <c r="J399" t="s">
        <v>88</v>
      </c>
      <c r="K399">
        <v>3</v>
      </c>
      <c r="L399" s="2">
        <v>6724.89</v>
      </c>
      <c r="M399">
        <v>0.1</v>
      </c>
      <c r="N399">
        <v>596.64</v>
      </c>
    </row>
    <row r="400" spans="1:14" x14ac:dyDescent="0.35">
      <c r="A400" t="s">
        <v>876</v>
      </c>
      <c r="B400" s="1">
        <v>45798</v>
      </c>
      <c r="C400" t="s">
        <v>835</v>
      </c>
      <c r="D400" t="s">
        <v>877</v>
      </c>
      <c r="E400" t="s">
        <v>51</v>
      </c>
      <c r="F400" t="s">
        <v>99</v>
      </c>
      <c r="G400" t="s">
        <v>231</v>
      </c>
      <c r="H400" t="s">
        <v>29</v>
      </c>
      <c r="I400" t="s">
        <v>30</v>
      </c>
      <c r="J400" t="s">
        <v>182</v>
      </c>
      <c r="K400">
        <v>6</v>
      </c>
      <c r="L400" s="2">
        <v>218841.43</v>
      </c>
      <c r="M400">
        <v>0.1</v>
      </c>
      <c r="N400">
        <v>16907.400000000001</v>
      </c>
    </row>
    <row r="401" spans="1:14" x14ac:dyDescent="0.35">
      <c r="A401" t="s">
        <v>878</v>
      </c>
      <c r="B401" s="1">
        <v>45799</v>
      </c>
      <c r="C401" t="s">
        <v>487</v>
      </c>
      <c r="D401" t="s">
        <v>619</v>
      </c>
      <c r="E401" t="s">
        <v>35</v>
      </c>
      <c r="F401" t="s">
        <v>128</v>
      </c>
      <c r="G401" t="s">
        <v>354</v>
      </c>
      <c r="H401" t="s">
        <v>29</v>
      </c>
      <c r="I401" t="s">
        <v>58</v>
      </c>
      <c r="J401" t="s">
        <v>59</v>
      </c>
      <c r="K401">
        <v>5</v>
      </c>
      <c r="L401" s="2">
        <v>3997.6</v>
      </c>
      <c r="M401">
        <v>0.15</v>
      </c>
      <c r="N401">
        <v>629.91999999999996</v>
      </c>
    </row>
    <row r="402" spans="1:14" x14ac:dyDescent="0.35">
      <c r="A402" t="s">
        <v>879</v>
      </c>
      <c r="B402" s="1">
        <v>45799</v>
      </c>
      <c r="C402" t="s">
        <v>24</v>
      </c>
      <c r="D402" t="s">
        <v>591</v>
      </c>
      <c r="E402" t="s">
        <v>51</v>
      </c>
      <c r="F402" t="s">
        <v>63</v>
      </c>
      <c r="G402" t="s">
        <v>324</v>
      </c>
      <c r="H402" t="s">
        <v>29</v>
      </c>
      <c r="I402" t="s">
        <v>30</v>
      </c>
      <c r="J402" t="s">
        <v>112</v>
      </c>
      <c r="K402">
        <v>7</v>
      </c>
      <c r="L402" s="2">
        <v>184819.08</v>
      </c>
      <c r="M402">
        <v>0.1</v>
      </c>
      <c r="N402">
        <v>29015.4</v>
      </c>
    </row>
    <row r="403" spans="1:14" x14ac:dyDescent="0.35">
      <c r="A403" t="s">
        <v>880</v>
      </c>
      <c r="B403" s="1">
        <v>45800</v>
      </c>
      <c r="C403" t="s">
        <v>881</v>
      </c>
      <c r="D403" t="s">
        <v>82</v>
      </c>
      <c r="E403" t="s">
        <v>17</v>
      </c>
      <c r="F403" t="s">
        <v>185</v>
      </c>
      <c r="G403" t="s">
        <v>186</v>
      </c>
      <c r="H403" t="s">
        <v>20</v>
      </c>
      <c r="I403" t="s">
        <v>65</v>
      </c>
      <c r="J403" t="s">
        <v>117</v>
      </c>
      <c r="K403">
        <v>6</v>
      </c>
      <c r="L403" s="2">
        <v>26962.55</v>
      </c>
      <c r="M403">
        <v>0.2</v>
      </c>
      <c r="N403">
        <v>4038.72</v>
      </c>
    </row>
    <row r="404" spans="1:14" x14ac:dyDescent="0.35">
      <c r="A404" t="s">
        <v>882</v>
      </c>
      <c r="B404" s="1">
        <v>45800</v>
      </c>
      <c r="C404" t="s">
        <v>526</v>
      </c>
      <c r="D404" t="s">
        <v>792</v>
      </c>
      <c r="E404" t="s">
        <v>17</v>
      </c>
      <c r="F404" t="s">
        <v>210</v>
      </c>
      <c r="G404" t="s">
        <v>211</v>
      </c>
      <c r="H404" t="s">
        <v>29</v>
      </c>
      <c r="I404" t="s">
        <v>30</v>
      </c>
      <c r="J404" t="s">
        <v>31</v>
      </c>
      <c r="K404">
        <v>2</v>
      </c>
      <c r="L404" s="2">
        <v>33956.31</v>
      </c>
      <c r="M404">
        <v>0.05</v>
      </c>
      <c r="N404">
        <v>5255.96</v>
      </c>
    </row>
    <row r="405" spans="1:14" x14ac:dyDescent="0.35">
      <c r="A405" t="s">
        <v>883</v>
      </c>
      <c r="B405" s="1">
        <v>45801</v>
      </c>
      <c r="C405" t="s">
        <v>570</v>
      </c>
      <c r="D405" t="s">
        <v>263</v>
      </c>
      <c r="E405" t="s">
        <v>51</v>
      </c>
      <c r="F405" t="s">
        <v>92</v>
      </c>
      <c r="G405" t="s">
        <v>178</v>
      </c>
      <c r="H405" t="s">
        <v>29</v>
      </c>
      <c r="I405" t="s">
        <v>94</v>
      </c>
      <c r="J405" t="s">
        <v>95</v>
      </c>
      <c r="K405">
        <v>2</v>
      </c>
      <c r="L405" s="2">
        <v>117403.64</v>
      </c>
      <c r="M405">
        <v>0.05</v>
      </c>
      <c r="N405">
        <v>24826.05</v>
      </c>
    </row>
    <row r="406" spans="1:14" x14ac:dyDescent="0.35">
      <c r="A406" t="s">
        <v>884</v>
      </c>
      <c r="B406" s="1">
        <v>45801</v>
      </c>
      <c r="C406" t="s">
        <v>411</v>
      </c>
      <c r="D406" t="s">
        <v>512</v>
      </c>
      <c r="E406" t="s">
        <v>26</v>
      </c>
      <c r="F406" t="s">
        <v>44</v>
      </c>
      <c r="G406" t="s">
        <v>45</v>
      </c>
      <c r="H406" t="s">
        <v>29</v>
      </c>
      <c r="I406" t="s">
        <v>30</v>
      </c>
      <c r="J406" t="s">
        <v>31</v>
      </c>
      <c r="K406">
        <v>6</v>
      </c>
      <c r="L406" s="2">
        <v>111644.25</v>
      </c>
      <c r="M406">
        <v>0</v>
      </c>
      <c r="N406">
        <v>26259.4</v>
      </c>
    </row>
    <row r="407" spans="1:14" x14ac:dyDescent="0.35">
      <c r="A407" t="s">
        <v>885</v>
      </c>
      <c r="B407" s="1">
        <v>45802</v>
      </c>
      <c r="C407" t="s">
        <v>797</v>
      </c>
      <c r="D407" t="s">
        <v>464</v>
      </c>
      <c r="E407" t="s">
        <v>51</v>
      </c>
      <c r="F407" t="s">
        <v>99</v>
      </c>
      <c r="G407" t="s">
        <v>231</v>
      </c>
      <c r="H407" t="s">
        <v>38</v>
      </c>
      <c r="I407" t="s">
        <v>78</v>
      </c>
      <c r="J407" t="s">
        <v>174</v>
      </c>
      <c r="K407">
        <v>4</v>
      </c>
      <c r="L407" s="2">
        <v>1838.1</v>
      </c>
      <c r="M407">
        <v>0.05</v>
      </c>
      <c r="N407">
        <v>153.29</v>
      </c>
    </row>
    <row r="408" spans="1:14" x14ac:dyDescent="0.35">
      <c r="A408" t="s">
        <v>886</v>
      </c>
      <c r="B408" s="1">
        <v>45803</v>
      </c>
      <c r="C408" t="s">
        <v>521</v>
      </c>
      <c r="D408" t="s">
        <v>517</v>
      </c>
      <c r="E408" t="s">
        <v>17</v>
      </c>
      <c r="F408" t="s">
        <v>185</v>
      </c>
      <c r="G408" t="s">
        <v>186</v>
      </c>
      <c r="H408" t="s">
        <v>20</v>
      </c>
      <c r="I408" t="s">
        <v>46</v>
      </c>
      <c r="J408" t="s">
        <v>130</v>
      </c>
      <c r="K408">
        <v>4</v>
      </c>
      <c r="L408" s="2">
        <v>33828.21</v>
      </c>
      <c r="M408">
        <v>0.05</v>
      </c>
      <c r="N408">
        <v>3736.04</v>
      </c>
    </row>
    <row r="409" spans="1:14" x14ac:dyDescent="0.35">
      <c r="A409" t="s">
        <v>887</v>
      </c>
      <c r="B409" s="1">
        <v>45803</v>
      </c>
      <c r="C409" t="s">
        <v>888</v>
      </c>
      <c r="D409" t="s">
        <v>889</v>
      </c>
      <c r="E409" t="s">
        <v>51</v>
      </c>
      <c r="F409" t="s">
        <v>92</v>
      </c>
      <c r="G409" t="s">
        <v>93</v>
      </c>
      <c r="H409" t="s">
        <v>29</v>
      </c>
      <c r="I409" t="s">
        <v>30</v>
      </c>
      <c r="J409" t="s">
        <v>182</v>
      </c>
      <c r="K409">
        <v>7</v>
      </c>
      <c r="L409" s="2">
        <v>285937.69</v>
      </c>
      <c r="M409">
        <v>0.05</v>
      </c>
      <c r="N409">
        <v>51631.81</v>
      </c>
    </row>
    <row r="410" spans="1:14" x14ac:dyDescent="0.35">
      <c r="A410" t="s">
        <v>890</v>
      </c>
      <c r="B410" s="1">
        <v>45804</v>
      </c>
      <c r="C410" t="s">
        <v>192</v>
      </c>
      <c r="D410" t="s">
        <v>455</v>
      </c>
      <c r="E410" t="s">
        <v>35</v>
      </c>
      <c r="F410" t="s">
        <v>36</v>
      </c>
      <c r="G410" t="s">
        <v>37</v>
      </c>
      <c r="H410" t="s">
        <v>29</v>
      </c>
      <c r="I410" t="s">
        <v>58</v>
      </c>
      <c r="J410" t="s">
        <v>59</v>
      </c>
      <c r="K410">
        <v>4</v>
      </c>
      <c r="L410" s="2">
        <v>3604.87</v>
      </c>
      <c r="M410">
        <v>0.05</v>
      </c>
      <c r="N410">
        <v>227.19</v>
      </c>
    </row>
    <row r="411" spans="1:14" x14ac:dyDescent="0.35">
      <c r="A411" t="s">
        <v>891</v>
      </c>
      <c r="B411" s="1">
        <v>45804</v>
      </c>
      <c r="C411" t="s">
        <v>892</v>
      </c>
      <c r="D411" t="s">
        <v>417</v>
      </c>
      <c r="E411" t="s">
        <v>17</v>
      </c>
      <c r="F411" t="s">
        <v>18</v>
      </c>
      <c r="G411" t="s">
        <v>19</v>
      </c>
      <c r="H411" t="s">
        <v>29</v>
      </c>
      <c r="I411" t="s">
        <v>58</v>
      </c>
      <c r="J411" t="s">
        <v>88</v>
      </c>
      <c r="K411">
        <v>4</v>
      </c>
      <c r="L411" s="2">
        <v>7954.47</v>
      </c>
      <c r="M411">
        <v>0.2</v>
      </c>
      <c r="N411">
        <v>356</v>
      </c>
    </row>
    <row r="412" spans="1:14" x14ac:dyDescent="0.35">
      <c r="A412" t="s">
        <v>893</v>
      </c>
      <c r="B412" s="1">
        <v>45805</v>
      </c>
      <c r="C412" t="s">
        <v>416</v>
      </c>
      <c r="D412" t="s">
        <v>336</v>
      </c>
      <c r="E412" t="s">
        <v>26</v>
      </c>
      <c r="F412" t="s">
        <v>86</v>
      </c>
      <c r="G412" t="s">
        <v>87</v>
      </c>
      <c r="H412" t="s">
        <v>29</v>
      </c>
      <c r="I412" t="s">
        <v>58</v>
      </c>
      <c r="J412" t="s">
        <v>88</v>
      </c>
      <c r="K412">
        <v>3</v>
      </c>
      <c r="L412" s="2">
        <v>7155.13</v>
      </c>
      <c r="M412">
        <v>0.1</v>
      </c>
      <c r="N412">
        <v>1304.3399999999999</v>
      </c>
    </row>
    <row r="413" spans="1:14" x14ac:dyDescent="0.35">
      <c r="A413" t="s">
        <v>894</v>
      </c>
      <c r="B413" s="1">
        <v>45806</v>
      </c>
      <c r="C413" t="s">
        <v>326</v>
      </c>
      <c r="D413" t="s">
        <v>266</v>
      </c>
      <c r="E413" t="s">
        <v>35</v>
      </c>
      <c r="F413" t="s">
        <v>36</v>
      </c>
      <c r="G413" t="s">
        <v>37</v>
      </c>
      <c r="H413" t="s">
        <v>29</v>
      </c>
      <c r="I413" t="s">
        <v>58</v>
      </c>
      <c r="J413" t="s">
        <v>59</v>
      </c>
      <c r="K413">
        <v>2</v>
      </c>
      <c r="L413" s="2">
        <v>1628.65</v>
      </c>
      <c r="M413">
        <v>0.1</v>
      </c>
      <c r="N413">
        <v>320.18</v>
      </c>
    </row>
    <row r="414" spans="1:14" x14ac:dyDescent="0.35">
      <c r="A414" t="s">
        <v>895</v>
      </c>
      <c r="B414" s="1">
        <v>45806</v>
      </c>
      <c r="C414" t="s">
        <v>385</v>
      </c>
      <c r="D414" t="s">
        <v>896</v>
      </c>
      <c r="E414" t="s">
        <v>26</v>
      </c>
      <c r="F414" t="s">
        <v>121</v>
      </c>
      <c r="G414" t="s">
        <v>122</v>
      </c>
      <c r="H414" t="s">
        <v>20</v>
      </c>
      <c r="I414" t="s">
        <v>21</v>
      </c>
      <c r="J414" t="s">
        <v>22</v>
      </c>
      <c r="K414">
        <v>4</v>
      </c>
      <c r="L414" s="2">
        <v>27249.48</v>
      </c>
      <c r="M414">
        <v>0</v>
      </c>
      <c r="N414">
        <v>2781.3</v>
      </c>
    </row>
    <row r="415" spans="1:14" x14ac:dyDescent="0.35">
      <c r="A415" t="s">
        <v>897</v>
      </c>
      <c r="B415" s="1">
        <v>45806</v>
      </c>
      <c r="C415" t="s">
        <v>176</v>
      </c>
      <c r="D415" t="s">
        <v>341</v>
      </c>
      <c r="E415" t="s">
        <v>35</v>
      </c>
      <c r="F415" t="s">
        <v>70</v>
      </c>
      <c r="G415" t="s">
        <v>71</v>
      </c>
      <c r="H415" t="s">
        <v>38</v>
      </c>
      <c r="I415" t="s">
        <v>39</v>
      </c>
      <c r="J415" t="s">
        <v>134</v>
      </c>
      <c r="K415">
        <v>1</v>
      </c>
      <c r="L415" s="2">
        <v>717.52</v>
      </c>
      <c r="M415">
        <v>0.05</v>
      </c>
      <c r="N415">
        <v>118.03</v>
      </c>
    </row>
    <row r="416" spans="1:14" x14ac:dyDescent="0.35">
      <c r="A416" t="s">
        <v>898</v>
      </c>
      <c r="B416" s="1">
        <v>45807</v>
      </c>
      <c r="C416" t="s">
        <v>489</v>
      </c>
      <c r="D416" t="s">
        <v>436</v>
      </c>
      <c r="E416" t="s">
        <v>51</v>
      </c>
      <c r="F416" t="s">
        <v>52</v>
      </c>
      <c r="G416" t="s">
        <v>57</v>
      </c>
      <c r="H416" t="s">
        <v>29</v>
      </c>
      <c r="I416" t="s">
        <v>58</v>
      </c>
      <c r="J416" t="s">
        <v>59</v>
      </c>
      <c r="K416">
        <v>3</v>
      </c>
      <c r="L416" s="2">
        <v>2242.79</v>
      </c>
      <c r="M416">
        <v>0.2</v>
      </c>
      <c r="N416">
        <v>79.819999999999993</v>
      </c>
    </row>
    <row r="417" spans="1:14" x14ac:dyDescent="0.35">
      <c r="A417" t="s">
        <v>899</v>
      </c>
      <c r="B417" s="1">
        <v>45807</v>
      </c>
      <c r="C417" t="s">
        <v>278</v>
      </c>
      <c r="D417" t="s">
        <v>561</v>
      </c>
      <c r="E417" t="s">
        <v>26</v>
      </c>
      <c r="F417" t="s">
        <v>121</v>
      </c>
      <c r="G417" t="s">
        <v>214</v>
      </c>
      <c r="H417" t="s">
        <v>29</v>
      </c>
      <c r="I417" t="s">
        <v>30</v>
      </c>
      <c r="J417" t="s">
        <v>31</v>
      </c>
      <c r="K417">
        <v>4</v>
      </c>
      <c r="L417" s="2">
        <v>63677.89</v>
      </c>
      <c r="M417">
        <v>0.1</v>
      </c>
      <c r="N417">
        <v>9162.1</v>
      </c>
    </row>
    <row r="418" spans="1:14" x14ac:dyDescent="0.35">
      <c r="A418" t="s">
        <v>900</v>
      </c>
      <c r="B418" s="1">
        <v>45808</v>
      </c>
      <c r="C418" t="s">
        <v>438</v>
      </c>
      <c r="D418" t="s">
        <v>901</v>
      </c>
      <c r="E418" t="s">
        <v>51</v>
      </c>
      <c r="F418" t="s">
        <v>63</v>
      </c>
      <c r="G418" t="s">
        <v>324</v>
      </c>
      <c r="H418" t="s">
        <v>29</v>
      </c>
      <c r="I418" t="s">
        <v>30</v>
      </c>
      <c r="J418" t="s">
        <v>31</v>
      </c>
      <c r="K418">
        <v>5</v>
      </c>
      <c r="L418" s="2">
        <v>96979.02</v>
      </c>
      <c r="M418">
        <v>0</v>
      </c>
      <c r="N418">
        <v>9468.7900000000009</v>
      </c>
    </row>
    <row r="419" spans="1:14" x14ac:dyDescent="0.35">
      <c r="A419" t="s">
        <v>902</v>
      </c>
      <c r="B419" s="1">
        <v>45809</v>
      </c>
      <c r="C419" t="s">
        <v>903</v>
      </c>
      <c r="D419" t="s">
        <v>763</v>
      </c>
      <c r="E419" t="s">
        <v>51</v>
      </c>
      <c r="F419" t="s">
        <v>52</v>
      </c>
      <c r="G419" t="s">
        <v>57</v>
      </c>
      <c r="H419" t="s">
        <v>38</v>
      </c>
      <c r="I419" t="s">
        <v>39</v>
      </c>
      <c r="J419" t="s">
        <v>134</v>
      </c>
      <c r="K419">
        <v>1</v>
      </c>
      <c r="L419" s="2">
        <v>735.34</v>
      </c>
      <c r="M419">
        <v>0.05</v>
      </c>
      <c r="N419">
        <v>148.83000000000001</v>
      </c>
    </row>
    <row r="420" spans="1:14" x14ac:dyDescent="0.35">
      <c r="A420" t="s">
        <v>904</v>
      </c>
      <c r="B420" s="1">
        <v>45809</v>
      </c>
      <c r="C420" t="s">
        <v>452</v>
      </c>
      <c r="D420" t="s">
        <v>461</v>
      </c>
      <c r="E420" t="s">
        <v>35</v>
      </c>
      <c r="F420" t="s">
        <v>110</v>
      </c>
      <c r="G420" t="s">
        <v>111</v>
      </c>
      <c r="H420" t="s">
        <v>20</v>
      </c>
      <c r="I420" t="s">
        <v>21</v>
      </c>
      <c r="J420" t="s">
        <v>72</v>
      </c>
      <c r="K420">
        <v>5</v>
      </c>
      <c r="L420" s="2">
        <v>13189.15</v>
      </c>
      <c r="M420">
        <v>0.05</v>
      </c>
      <c r="N420">
        <v>901.79</v>
      </c>
    </row>
    <row r="421" spans="1:14" x14ac:dyDescent="0.35">
      <c r="A421" t="s">
        <v>905</v>
      </c>
      <c r="B421" s="1">
        <v>45809</v>
      </c>
      <c r="C421" t="s">
        <v>173</v>
      </c>
      <c r="D421" t="s">
        <v>906</v>
      </c>
      <c r="E421" t="s">
        <v>51</v>
      </c>
      <c r="F421" t="s">
        <v>92</v>
      </c>
      <c r="G421" t="s">
        <v>178</v>
      </c>
      <c r="H421" t="s">
        <v>20</v>
      </c>
      <c r="I421" t="s">
        <v>46</v>
      </c>
      <c r="J421" t="s">
        <v>203</v>
      </c>
      <c r="K421">
        <v>1</v>
      </c>
      <c r="L421" s="2">
        <v>4450.53</v>
      </c>
      <c r="M421">
        <v>0.05</v>
      </c>
      <c r="N421">
        <v>312.44</v>
      </c>
    </row>
    <row r="422" spans="1:14" x14ac:dyDescent="0.35">
      <c r="A422" t="s">
        <v>907</v>
      </c>
      <c r="B422" s="1">
        <v>45809</v>
      </c>
      <c r="C422" t="s">
        <v>205</v>
      </c>
      <c r="D422" t="s">
        <v>196</v>
      </c>
      <c r="E422" t="s">
        <v>26</v>
      </c>
      <c r="F422" t="s">
        <v>27</v>
      </c>
      <c r="G422" t="s">
        <v>28</v>
      </c>
      <c r="H422" t="s">
        <v>29</v>
      </c>
      <c r="I422" t="s">
        <v>30</v>
      </c>
      <c r="J422" t="s">
        <v>112</v>
      </c>
      <c r="K422">
        <v>6</v>
      </c>
      <c r="L422" s="2">
        <v>142378.49</v>
      </c>
      <c r="M422">
        <v>0.1</v>
      </c>
      <c r="N422">
        <v>24951.48</v>
      </c>
    </row>
    <row r="423" spans="1:14" x14ac:dyDescent="0.35">
      <c r="A423" t="s">
        <v>908</v>
      </c>
      <c r="B423" s="1">
        <v>45811</v>
      </c>
      <c r="C423" t="s">
        <v>414</v>
      </c>
      <c r="D423" t="s">
        <v>359</v>
      </c>
      <c r="E423" t="s">
        <v>35</v>
      </c>
      <c r="F423" t="s">
        <v>36</v>
      </c>
      <c r="G423" t="s">
        <v>255</v>
      </c>
      <c r="H423" t="s">
        <v>29</v>
      </c>
      <c r="I423" t="s">
        <v>58</v>
      </c>
      <c r="J423" t="s">
        <v>88</v>
      </c>
      <c r="K423">
        <v>7</v>
      </c>
      <c r="L423" s="2">
        <v>16198.81</v>
      </c>
      <c r="M423">
        <v>0.05</v>
      </c>
      <c r="N423">
        <v>3352.9</v>
      </c>
    </row>
    <row r="424" spans="1:14" x14ac:dyDescent="0.35">
      <c r="A424" t="s">
        <v>909</v>
      </c>
      <c r="B424" s="1">
        <v>45811</v>
      </c>
      <c r="C424" t="s">
        <v>164</v>
      </c>
      <c r="D424" t="s">
        <v>910</v>
      </c>
      <c r="E424" t="s">
        <v>17</v>
      </c>
      <c r="F424" t="s">
        <v>76</v>
      </c>
      <c r="G424" t="s">
        <v>77</v>
      </c>
      <c r="H424" t="s">
        <v>20</v>
      </c>
      <c r="I424" t="s">
        <v>65</v>
      </c>
      <c r="J424" t="s">
        <v>142</v>
      </c>
      <c r="K424">
        <v>7</v>
      </c>
      <c r="L424" s="2">
        <v>137850.04</v>
      </c>
      <c r="M424">
        <v>0.1</v>
      </c>
      <c r="N424">
        <v>10226.89</v>
      </c>
    </row>
    <row r="425" spans="1:14" x14ac:dyDescent="0.35">
      <c r="A425" t="s">
        <v>911</v>
      </c>
      <c r="B425" s="1">
        <v>45811</v>
      </c>
      <c r="C425" t="s">
        <v>387</v>
      </c>
      <c r="D425" t="s">
        <v>190</v>
      </c>
      <c r="E425" t="s">
        <v>35</v>
      </c>
      <c r="F425" t="s">
        <v>36</v>
      </c>
      <c r="G425" t="s">
        <v>37</v>
      </c>
      <c r="H425" t="s">
        <v>38</v>
      </c>
      <c r="I425" t="s">
        <v>218</v>
      </c>
      <c r="J425" t="s">
        <v>221</v>
      </c>
      <c r="K425">
        <v>3</v>
      </c>
      <c r="L425" s="2">
        <v>541.5</v>
      </c>
      <c r="M425">
        <v>0.05</v>
      </c>
      <c r="N425">
        <v>115.02</v>
      </c>
    </row>
    <row r="426" spans="1:14" x14ac:dyDescent="0.35">
      <c r="A426" t="s">
        <v>912</v>
      </c>
      <c r="B426" s="1">
        <v>45811</v>
      </c>
      <c r="C426" t="s">
        <v>389</v>
      </c>
      <c r="D426" t="s">
        <v>168</v>
      </c>
      <c r="E426" t="s">
        <v>51</v>
      </c>
      <c r="F426" t="s">
        <v>63</v>
      </c>
      <c r="G426" t="s">
        <v>324</v>
      </c>
      <c r="H426" t="s">
        <v>29</v>
      </c>
      <c r="I426" t="s">
        <v>58</v>
      </c>
      <c r="J426" t="s">
        <v>59</v>
      </c>
      <c r="K426">
        <v>1</v>
      </c>
      <c r="L426" s="2">
        <v>852.16</v>
      </c>
      <c r="M426">
        <v>0.1</v>
      </c>
      <c r="N426">
        <v>76.989999999999995</v>
      </c>
    </row>
    <row r="427" spans="1:14" x14ac:dyDescent="0.35">
      <c r="A427" t="s">
        <v>913</v>
      </c>
      <c r="B427" s="1">
        <v>45811</v>
      </c>
      <c r="C427" t="s">
        <v>176</v>
      </c>
      <c r="D427" t="s">
        <v>422</v>
      </c>
      <c r="E427" t="s">
        <v>51</v>
      </c>
      <c r="F427" t="s">
        <v>63</v>
      </c>
      <c r="G427" t="s">
        <v>324</v>
      </c>
      <c r="H427" t="s">
        <v>20</v>
      </c>
      <c r="I427" t="s">
        <v>46</v>
      </c>
      <c r="J427" t="s">
        <v>47</v>
      </c>
      <c r="K427">
        <v>1</v>
      </c>
      <c r="L427" s="2">
        <v>6472.89</v>
      </c>
      <c r="M427">
        <v>0</v>
      </c>
      <c r="N427">
        <v>1347.22</v>
      </c>
    </row>
    <row r="428" spans="1:14" x14ac:dyDescent="0.35">
      <c r="A428" t="s">
        <v>914</v>
      </c>
      <c r="B428" s="1">
        <v>45812</v>
      </c>
      <c r="C428" t="s">
        <v>144</v>
      </c>
      <c r="D428" t="s">
        <v>836</v>
      </c>
      <c r="E428" t="s">
        <v>51</v>
      </c>
      <c r="F428" t="s">
        <v>52</v>
      </c>
      <c r="G428" t="s">
        <v>53</v>
      </c>
      <c r="H428" t="s">
        <v>29</v>
      </c>
      <c r="I428" t="s">
        <v>58</v>
      </c>
      <c r="J428" t="s">
        <v>88</v>
      </c>
      <c r="K428">
        <v>6</v>
      </c>
      <c r="L428" s="2">
        <v>12700.29</v>
      </c>
      <c r="M428">
        <v>0.1</v>
      </c>
      <c r="N428">
        <v>2222.69</v>
      </c>
    </row>
    <row r="429" spans="1:14" x14ac:dyDescent="0.35">
      <c r="A429" t="s">
        <v>915</v>
      </c>
      <c r="B429" s="1">
        <v>45812</v>
      </c>
      <c r="C429" t="s">
        <v>299</v>
      </c>
      <c r="D429" t="s">
        <v>361</v>
      </c>
      <c r="E429" t="s">
        <v>17</v>
      </c>
      <c r="F429" t="s">
        <v>76</v>
      </c>
      <c r="G429" t="s">
        <v>77</v>
      </c>
      <c r="H429" t="s">
        <v>38</v>
      </c>
      <c r="I429" t="s">
        <v>78</v>
      </c>
      <c r="J429" t="s">
        <v>307</v>
      </c>
      <c r="K429">
        <v>1</v>
      </c>
      <c r="L429" s="2">
        <v>530.58000000000004</v>
      </c>
      <c r="M429">
        <v>0.1</v>
      </c>
      <c r="N429">
        <v>100.76</v>
      </c>
    </row>
    <row r="430" spans="1:14" x14ac:dyDescent="0.35">
      <c r="A430" t="s">
        <v>916</v>
      </c>
      <c r="B430" s="1">
        <v>45813</v>
      </c>
      <c r="C430" t="s">
        <v>494</v>
      </c>
      <c r="D430" t="s">
        <v>177</v>
      </c>
      <c r="E430" t="s">
        <v>35</v>
      </c>
      <c r="F430" t="s">
        <v>128</v>
      </c>
      <c r="G430" t="s">
        <v>354</v>
      </c>
      <c r="H430" t="s">
        <v>38</v>
      </c>
      <c r="I430" t="s">
        <v>218</v>
      </c>
      <c r="J430" t="s">
        <v>225</v>
      </c>
      <c r="K430">
        <v>4</v>
      </c>
      <c r="L430" s="2">
        <v>921.45</v>
      </c>
      <c r="M430">
        <v>0</v>
      </c>
      <c r="N430">
        <v>114.5</v>
      </c>
    </row>
    <row r="431" spans="1:14" x14ac:dyDescent="0.35">
      <c r="A431" t="s">
        <v>917</v>
      </c>
      <c r="B431" s="1">
        <v>45813</v>
      </c>
      <c r="C431" t="s">
        <v>338</v>
      </c>
      <c r="D431" t="s">
        <v>670</v>
      </c>
      <c r="E431" t="s">
        <v>26</v>
      </c>
      <c r="F431" t="s">
        <v>27</v>
      </c>
      <c r="G431" t="s">
        <v>28</v>
      </c>
      <c r="H431" t="s">
        <v>29</v>
      </c>
      <c r="I431" t="s">
        <v>58</v>
      </c>
      <c r="J431" t="s">
        <v>59</v>
      </c>
      <c r="K431">
        <v>5</v>
      </c>
      <c r="L431" s="2">
        <v>3696.69</v>
      </c>
      <c r="M431">
        <v>0.2</v>
      </c>
      <c r="N431">
        <v>694.89</v>
      </c>
    </row>
    <row r="432" spans="1:14" x14ac:dyDescent="0.35">
      <c r="A432" t="s">
        <v>918</v>
      </c>
      <c r="B432" s="1">
        <v>45814</v>
      </c>
      <c r="C432" t="s">
        <v>328</v>
      </c>
      <c r="D432" t="s">
        <v>919</v>
      </c>
      <c r="E432" t="s">
        <v>35</v>
      </c>
      <c r="F432" t="s">
        <v>128</v>
      </c>
      <c r="G432" t="s">
        <v>129</v>
      </c>
      <c r="H432" t="s">
        <v>20</v>
      </c>
      <c r="I432" t="s">
        <v>65</v>
      </c>
      <c r="J432" t="s">
        <v>142</v>
      </c>
      <c r="K432">
        <v>5</v>
      </c>
      <c r="L432" s="2">
        <v>96170.62</v>
      </c>
      <c r="M432">
        <v>0.15</v>
      </c>
      <c r="N432">
        <v>6319.74</v>
      </c>
    </row>
    <row r="433" spans="1:14" x14ac:dyDescent="0.35">
      <c r="A433" t="s">
        <v>920</v>
      </c>
      <c r="B433" s="1">
        <v>45814</v>
      </c>
      <c r="C433" t="s">
        <v>97</v>
      </c>
      <c r="D433" t="s">
        <v>234</v>
      </c>
      <c r="E433" t="s">
        <v>17</v>
      </c>
      <c r="F433" t="s">
        <v>18</v>
      </c>
      <c r="G433" t="s">
        <v>19</v>
      </c>
      <c r="H433" t="s">
        <v>38</v>
      </c>
      <c r="I433" t="s">
        <v>218</v>
      </c>
      <c r="J433" t="s">
        <v>221</v>
      </c>
      <c r="K433">
        <v>1</v>
      </c>
      <c r="L433" s="2">
        <v>175.75</v>
      </c>
      <c r="M433">
        <v>0.05</v>
      </c>
      <c r="N433">
        <v>23.03</v>
      </c>
    </row>
    <row r="434" spans="1:14" x14ac:dyDescent="0.35">
      <c r="A434" t="s">
        <v>921</v>
      </c>
      <c r="B434" s="1">
        <v>45814</v>
      </c>
      <c r="C434" t="s">
        <v>289</v>
      </c>
      <c r="D434" t="s">
        <v>120</v>
      </c>
      <c r="E434" t="s">
        <v>17</v>
      </c>
      <c r="F434" t="s">
        <v>18</v>
      </c>
      <c r="G434" t="s">
        <v>19</v>
      </c>
      <c r="H434" t="s">
        <v>29</v>
      </c>
      <c r="I434" t="s">
        <v>30</v>
      </c>
      <c r="J434" t="s">
        <v>182</v>
      </c>
      <c r="K434">
        <v>7</v>
      </c>
      <c r="L434" s="2">
        <v>235005.51</v>
      </c>
      <c r="M434">
        <v>0.15</v>
      </c>
      <c r="N434">
        <v>23855.81</v>
      </c>
    </row>
    <row r="435" spans="1:14" x14ac:dyDescent="0.35">
      <c r="A435" t="s">
        <v>922</v>
      </c>
      <c r="B435" s="1">
        <v>45814</v>
      </c>
      <c r="C435" t="s">
        <v>587</v>
      </c>
      <c r="D435" t="s">
        <v>396</v>
      </c>
      <c r="E435" t="s">
        <v>35</v>
      </c>
      <c r="F435" t="s">
        <v>128</v>
      </c>
      <c r="G435" t="s">
        <v>129</v>
      </c>
      <c r="H435" t="s">
        <v>38</v>
      </c>
      <c r="I435" t="s">
        <v>78</v>
      </c>
      <c r="J435" t="s">
        <v>174</v>
      </c>
      <c r="K435">
        <v>7</v>
      </c>
      <c r="L435" s="2">
        <v>2533.09</v>
      </c>
      <c r="M435">
        <v>0.15</v>
      </c>
      <c r="N435">
        <v>446.42</v>
      </c>
    </row>
    <row r="436" spans="1:14" x14ac:dyDescent="0.35">
      <c r="A436" t="s">
        <v>923</v>
      </c>
      <c r="B436" s="1">
        <v>45815</v>
      </c>
      <c r="C436" t="s">
        <v>704</v>
      </c>
      <c r="D436" t="s">
        <v>56</v>
      </c>
      <c r="E436" t="s">
        <v>17</v>
      </c>
      <c r="F436" t="s">
        <v>18</v>
      </c>
      <c r="G436" t="s">
        <v>19</v>
      </c>
      <c r="H436" t="s">
        <v>20</v>
      </c>
      <c r="I436" t="s">
        <v>21</v>
      </c>
      <c r="J436" t="s">
        <v>72</v>
      </c>
      <c r="K436">
        <v>7</v>
      </c>
      <c r="L436" s="2">
        <v>20124.75</v>
      </c>
      <c r="M436">
        <v>0</v>
      </c>
      <c r="N436">
        <v>4085.81</v>
      </c>
    </row>
    <row r="437" spans="1:14" x14ac:dyDescent="0.35">
      <c r="A437" t="s">
        <v>924</v>
      </c>
      <c r="B437" s="1">
        <v>45815</v>
      </c>
      <c r="C437" t="s">
        <v>925</v>
      </c>
      <c r="D437" t="s">
        <v>284</v>
      </c>
      <c r="E437" t="s">
        <v>51</v>
      </c>
      <c r="F437" t="s">
        <v>92</v>
      </c>
      <c r="G437" t="s">
        <v>93</v>
      </c>
      <c r="H437" t="s">
        <v>20</v>
      </c>
      <c r="I437" t="s">
        <v>21</v>
      </c>
      <c r="J437" t="s">
        <v>72</v>
      </c>
      <c r="K437">
        <v>6</v>
      </c>
      <c r="L437" s="2">
        <v>15512.06</v>
      </c>
      <c r="M437">
        <v>0.15</v>
      </c>
      <c r="N437">
        <v>2778.5</v>
      </c>
    </row>
    <row r="438" spans="1:14" x14ac:dyDescent="0.35">
      <c r="A438" t="s">
        <v>926</v>
      </c>
      <c r="B438" s="1">
        <v>45816</v>
      </c>
      <c r="C438" t="s">
        <v>733</v>
      </c>
      <c r="D438" t="s">
        <v>193</v>
      </c>
      <c r="E438" t="s">
        <v>51</v>
      </c>
      <c r="F438" t="s">
        <v>99</v>
      </c>
      <c r="G438" t="s">
        <v>100</v>
      </c>
      <c r="H438" t="s">
        <v>29</v>
      </c>
      <c r="I438" t="s">
        <v>58</v>
      </c>
      <c r="J438" t="s">
        <v>59</v>
      </c>
      <c r="K438">
        <v>1</v>
      </c>
      <c r="L438" s="2">
        <v>786.46</v>
      </c>
      <c r="M438">
        <v>0.1</v>
      </c>
      <c r="N438">
        <v>85.43</v>
      </c>
    </row>
    <row r="439" spans="1:14" x14ac:dyDescent="0.35">
      <c r="A439" t="s">
        <v>927</v>
      </c>
      <c r="B439" s="1">
        <v>45817</v>
      </c>
      <c r="C439" t="s">
        <v>306</v>
      </c>
      <c r="D439" t="s">
        <v>906</v>
      </c>
      <c r="E439" t="s">
        <v>35</v>
      </c>
      <c r="F439" t="s">
        <v>70</v>
      </c>
      <c r="G439" t="s">
        <v>297</v>
      </c>
      <c r="H439" t="s">
        <v>38</v>
      </c>
      <c r="I439" t="s">
        <v>78</v>
      </c>
      <c r="J439" t="s">
        <v>79</v>
      </c>
      <c r="K439">
        <v>7</v>
      </c>
      <c r="L439" s="2">
        <v>2091.56</v>
      </c>
      <c r="M439">
        <v>0.1</v>
      </c>
      <c r="N439">
        <v>201.23</v>
      </c>
    </row>
    <row r="440" spans="1:14" x14ac:dyDescent="0.35">
      <c r="A440" t="s">
        <v>928</v>
      </c>
      <c r="B440" s="1">
        <v>45817</v>
      </c>
      <c r="C440" t="s">
        <v>531</v>
      </c>
      <c r="D440" t="s">
        <v>512</v>
      </c>
      <c r="E440" t="s">
        <v>35</v>
      </c>
      <c r="F440" t="s">
        <v>36</v>
      </c>
      <c r="G440" t="s">
        <v>37</v>
      </c>
      <c r="H440" t="s">
        <v>29</v>
      </c>
      <c r="I440" t="s">
        <v>94</v>
      </c>
      <c r="J440" t="s">
        <v>95</v>
      </c>
      <c r="K440">
        <v>4</v>
      </c>
      <c r="L440" s="2">
        <v>229332.23</v>
      </c>
      <c r="M440">
        <v>0</v>
      </c>
      <c r="N440">
        <v>31672.69</v>
      </c>
    </row>
    <row r="441" spans="1:14" x14ac:dyDescent="0.35">
      <c r="A441" t="s">
        <v>929</v>
      </c>
      <c r="B441" s="1">
        <v>45817</v>
      </c>
      <c r="C441" t="s">
        <v>797</v>
      </c>
      <c r="D441" t="s">
        <v>284</v>
      </c>
      <c r="E441" t="s">
        <v>26</v>
      </c>
      <c r="F441" t="s">
        <v>44</v>
      </c>
      <c r="G441" t="s">
        <v>116</v>
      </c>
      <c r="H441" t="s">
        <v>29</v>
      </c>
      <c r="I441" t="s">
        <v>30</v>
      </c>
      <c r="J441" t="s">
        <v>31</v>
      </c>
      <c r="K441">
        <v>7</v>
      </c>
      <c r="L441" s="2">
        <v>112302.5</v>
      </c>
      <c r="M441">
        <v>0.1</v>
      </c>
      <c r="N441">
        <v>6628.05</v>
      </c>
    </row>
    <row r="442" spans="1:14" x14ac:dyDescent="0.35">
      <c r="A442" t="s">
        <v>930</v>
      </c>
      <c r="B442" s="1">
        <v>45817</v>
      </c>
      <c r="C442" t="s">
        <v>61</v>
      </c>
      <c r="D442" t="s">
        <v>155</v>
      </c>
      <c r="E442" t="s">
        <v>26</v>
      </c>
      <c r="F442" t="s">
        <v>121</v>
      </c>
      <c r="G442" t="s">
        <v>122</v>
      </c>
      <c r="H442" t="s">
        <v>20</v>
      </c>
      <c r="I442" t="s">
        <v>21</v>
      </c>
      <c r="J442" t="s">
        <v>22</v>
      </c>
      <c r="K442">
        <v>5</v>
      </c>
      <c r="L442" s="2">
        <v>30266.959999999999</v>
      </c>
      <c r="M442">
        <v>0</v>
      </c>
      <c r="N442">
        <v>5315.95</v>
      </c>
    </row>
    <row r="443" spans="1:14" x14ac:dyDescent="0.35">
      <c r="A443" t="s">
        <v>931</v>
      </c>
      <c r="B443" s="1">
        <v>45818</v>
      </c>
      <c r="C443" t="s">
        <v>414</v>
      </c>
      <c r="D443" t="s">
        <v>336</v>
      </c>
      <c r="E443" t="s">
        <v>17</v>
      </c>
      <c r="F443" t="s">
        <v>185</v>
      </c>
      <c r="G443" t="s">
        <v>186</v>
      </c>
      <c r="H443" t="s">
        <v>38</v>
      </c>
      <c r="I443" t="s">
        <v>39</v>
      </c>
      <c r="J443" t="s">
        <v>134</v>
      </c>
      <c r="K443">
        <v>1</v>
      </c>
      <c r="L443" s="2">
        <v>695.15</v>
      </c>
      <c r="M443">
        <v>0.1</v>
      </c>
      <c r="N443">
        <v>42.13</v>
      </c>
    </row>
    <row r="444" spans="1:14" x14ac:dyDescent="0.35">
      <c r="A444" t="s">
        <v>932</v>
      </c>
      <c r="B444" s="1">
        <v>45818</v>
      </c>
      <c r="C444" t="s">
        <v>933</v>
      </c>
      <c r="D444" t="s">
        <v>455</v>
      </c>
      <c r="E444" t="s">
        <v>35</v>
      </c>
      <c r="F444" t="s">
        <v>128</v>
      </c>
      <c r="G444" t="s">
        <v>354</v>
      </c>
      <c r="H444" t="s">
        <v>38</v>
      </c>
      <c r="I444" t="s">
        <v>218</v>
      </c>
      <c r="J444" t="s">
        <v>221</v>
      </c>
      <c r="K444">
        <v>6</v>
      </c>
      <c r="L444" s="2">
        <v>1012.91</v>
      </c>
      <c r="M444">
        <v>0.05</v>
      </c>
      <c r="N444">
        <v>153.13</v>
      </c>
    </row>
    <row r="445" spans="1:14" x14ac:dyDescent="0.35">
      <c r="A445" t="s">
        <v>934</v>
      </c>
      <c r="B445" s="1">
        <v>45818</v>
      </c>
      <c r="C445" t="s">
        <v>935</v>
      </c>
      <c r="D445" t="s">
        <v>936</v>
      </c>
      <c r="E445" t="s">
        <v>35</v>
      </c>
      <c r="F445" t="s">
        <v>36</v>
      </c>
      <c r="G445" t="s">
        <v>37</v>
      </c>
      <c r="H445" t="s">
        <v>20</v>
      </c>
      <c r="I445" t="s">
        <v>46</v>
      </c>
      <c r="J445" t="s">
        <v>203</v>
      </c>
      <c r="K445">
        <v>1</v>
      </c>
      <c r="L445" s="2">
        <v>4299.1099999999997</v>
      </c>
      <c r="M445">
        <v>0.2</v>
      </c>
      <c r="N445">
        <v>227.61</v>
      </c>
    </row>
    <row r="446" spans="1:14" x14ac:dyDescent="0.35">
      <c r="A446" t="s">
        <v>937</v>
      </c>
      <c r="B446" s="1">
        <v>45818</v>
      </c>
      <c r="C446" t="s">
        <v>335</v>
      </c>
      <c r="D446" t="s">
        <v>168</v>
      </c>
      <c r="E446" t="s">
        <v>26</v>
      </c>
      <c r="F446" t="s">
        <v>27</v>
      </c>
      <c r="G446" t="s">
        <v>249</v>
      </c>
      <c r="H446" t="s">
        <v>29</v>
      </c>
      <c r="I446" t="s">
        <v>94</v>
      </c>
      <c r="J446" t="s">
        <v>106</v>
      </c>
      <c r="K446">
        <v>1</v>
      </c>
      <c r="L446" s="2">
        <v>70473.81</v>
      </c>
      <c r="M446">
        <v>0.15</v>
      </c>
      <c r="N446">
        <v>12557.08</v>
      </c>
    </row>
    <row r="447" spans="1:14" x14ac:dyDescent="0.35">
      <c r="A447" t="s">
        <v>938</v>
      </c>
      <c r="B447" s="1">
        <v>45819</v>
      </c>
      <c r="C447" t="s">
        <v>649</v>
      </c>
      <c r="D447" t="s">
        <v>792</v>
      </c>
      <c r="E447" t="s">
        <v>51</v>
      </c>
      <c r="F447" t="s">
        <v>92</v>
      </c>
      <c r="G447" t="s">
        <v>93</v>
      </c>
      <c r="H447" t="s">
        <v>20</v>
      </c>
      <c r="I447" t="s">
        <v>65</v>
      </c>
      <c r="J447" t="s">
        <v>66</v>
      </c>
      <c r="K447">
        <v>3</v>
      </c>
      <c r="L447" s="2">
        <v>24411.439999999999</v>
      </c>
      <c r="M447">
        <v>0.1</v>
      </c>
      <c r="N447">
        <v>1609.22</v>
      </c>
    </row>
    <row r="448" spans="1:14" x14ac:dyDescent="0.35">
      <c r="A448" t="s">
        <v>939</v>
      </c>
      <c r="B448" s="1">
        <v>45819</v>
      </c>
      <c r="C448" t="s">
        <v>147</v>
      </c>
      <c r="D448" t="s">
        <v>683</v>
      </c>
      <c r="E448" t="s">
        <v>26</v>
      </c>
      <c r="F448" t="s">
        <v>27</v>
      </c>
      <c r="G448" t="s">
        <v>249</v>
      </c>
      <c r="H448" t="s">
        <v>20</v>
      </c>
      <c r="I448" t="s">
        <v>21</v>
      </c>
      <c r="J448" t="s">
        <v>72</v>
      </c>
      <c r="K448">
        <v>7</v>
      </c>
      <c r="L448" s="2">
        <v>22555.32</v>
      </c>
      <c r="M448">
        <v>0</v>
      </c>
      <c r="N448">
        <v>2066.17</v>
      </c>
    </row>
    <row r="449" spans="1:14" x14ac:dyDescent="0.35">
      <c r="A449" t="s">
        <v>940</v>
      </c>
      <c r="B449" s="1">
        <v>45820</v>
      </c>
      <c r="C449" t="s">
        <v>430</v>
      </c>
      <c r="D449" t="s">
        <v>357</v>
      </c>
      <c r="E449" t="s">
        <v>51</v>
      </c>
      <c r="F449" t="s">
        <v>92</v>
      </c>
      <c r="G449" t="s">
        <v>178</v>
      </c>
      <c r="H449" t="s">
        <v>38</v>
      </c>
      <c r="I449" t="s">
        <v>218</v>
      </c>
      <c r="J449" t="s">
        <v>221</v>
      </c>
      <c r="K449">
        <v>7</v>
      </c>
      <c r="L449" s="2">
        <v>1176.4000000000001</v>
      </c>
      <c r="M449">
        <v>0.05</v>
      </c>
      <c r="N449">
        <v>218.54</v>
      </c>
    </row>
    <row r="450" spans="1:14" x14ac:dyDescent="0.35">
      <c r="A450" t="s">
        <v>941</v>
      </c>
      <c r="B450" s="1">
        <v>45820</v>
      </c>
      <c r="C450" t="s">
        <v>15</v>
      </c>
      <c r="D450" t="s">
        <v>583</v>
      </c>
      <c r="E450" t="s">
        <v>26</v>
      </c>
      <c r="F450" t="s">
        <v>121</v>
      </c>
      <c r="G450" t="s">
        <v>122</v>
      </c>
      <c r="H450" t="s">
        <v>29</v>
      </c>
      <c r="I450" t="s">
        <v>58</v>
      </c>
      <c r="J450" t="s">
        <v>300</v>
      </c>
      <c r="K450">
        <v>5</v>
      </c>
      <c r="L450" s="2">
        <v>7078.4</v>
      </c>
      <c r="M450">
        <v>0.05</v>
      </c>
      <c r="N450">
        <v>740.34</v>
      </c>
    </row>
    <row r="451" spans="1:14" x14ac:dyDescent="0.35">
      <c r="A451" t="s">
        <v>942</v>
      </c>
      <c r="B451" s="1">
        <v>45820</v>
      </c>
      <c r="C451" t="s">
        <v>706</v>
      </c>
      <c r="D451" t="s">
        <v>943</v>
      </c>
      <c r="E451" t="s">
        <v>51</v>
      </c>
      <c r="F451" t="s">
        <v>104</v>
      </c>
      <c r="G451" t="s">
        <v>206</v>
      </c>
      <c r="H451" t="s">
        <v>29</v>
      </c>
      <c r="I451" t="s">
        <v>30</v>
      </c>
      <c r="J451" t="s">
        <v>31</v>
      </c>
      <c r="K451">
        <v>4</v>
      </c>
      <c r="L451" s="2">
        <v>63082.09</v>
      </c>
      <c r="M451">
        <v>0.05</v>
      </c>
      <c r="N451">
        <v>5411.92</v>
      </c>
    </row>
    <row r="452" spans="1:14" x14ac:dyDescent="0.35">
      <c r="A452" t="s">
        <v>944</v>
      </c>
      <c r="B452" s="1">
        <v>45820</v>
      </c>
      <c r="C452" t="s">
        <v>945</v>
      </c>
      <c r="D452" t="s">
        <v>578</v>
      </c>
      <c r="E452" t="s">
        <v>26</v>
      </c>
      <c r="F452" t="s">
        <v>121</v>
      </c>
      <c r="G452" t="s">
        <v>122</v>
      </c>
      <c r="H452" t="s">
        <v>20</v>
      </c>
      <c r="I452" t="s">
        <v>46</v>
      </c>
      <c r="J452" t="s">
        <v>203</v>
      </c>
      <c r="K452">
        <v>4</v>
      </c>
      <c r="L452" s="2">
        <v>20377.63</v>
      </c>
      <c r="M452">
        <v>0.05</v>
      </c>
      <c r="N452">
        <v>3249.79</v>
      </c>
    </row>
    <row r="453" spans="1:14" x14ac:dyDescent="0.35">
      <c r="A453" t="s">
        <v>946</v>
      </c>
      <c r="B453" s="1">
        <v>45820</v>
      </c>
      <c r="C453" t="s">
        <v>84</v>
      </c>
      <c r="D453" t="s">
        <v>500</v>
      </c>
      <c r="E453" t="s">
        <v>17</v>
      </c>
      <c r="F453" t="s">
        <v>185</v>
      </c>
      <c r="G453" t="s">
        <v>528</v>
      </c>
      <c r="H453" t="s">
        <v>38</v>
      </c>
      <c r="I453" t="s">
        <v>218</v>
      </c>
      <c r="J453" t="s">
        <v>225</v>
      </c>
      <c r="K453">
        <v>6</v>
      </c>
      <c r="L453" s="2">
        <v>1388.77</v>
      </c>
      <c r="M453">
        <v>0.05</v>
      </c>
      <c r="N453">
        <v>204.83</v>
      </c>
    </row>
    <row r="454" spans="1:14" x14ac:dyDescent="0.35">
      <c r="A454" t="s">
        <v>947</v>
      </c>
      <c r="B454" s="1">
        <v>45821</v>
      </c>
      <c r="C454" t="s">
        <v>374</v>
      </c>
      <c r="D454" t="s">
        <v>619</v>
      </c>
      <c r="E454" t="s">
        <v>35</v>
      </c>
      <c r="F454" t="s">
        <v>110</v>
      </c>
      <c r="G454" t="s">
        <v>111</v>
      </c>
      <c r="H454" t="s">
        <v>29</v>
      </c>
      <c r="I454" t="s">
        <v>30</v>
      </c>
      <c r="J454" t="s">
        <v>112</v>
      </c>
      <c r="K454">
        <v>3</v>
      </c>
      <c r="L454" s="2">
        <v>73358.36</v>
      </c>
      <c r="M454">
        <v>0.15</v>
      </c>
      <c r="N454">
        <v>12890.19</v>
      </c>
    </row>
    <row r="455" spans="1:14" x14ac:dyDescent="0.35">
      <c r="A455" t="s">
        <v>948</v>
      </c>
      <c r="B455" s="1">
        <v>45821</v>
      </c>
      <c r="C455" t="s">
        <v>716</v>
      </c>
      <c r="D455" t="s">
        <v>62</v>
      </c>
      <c r="E455" t="s">
        <v>35</v>
      </c>
      <c r="F455" t="s">
        <v>128</v>
      </c>
      <c r="G455" t="s">
        <v>354</v>
      </c>
      <c r="H455" t="s">
        <v>29</v>
      </c>
      <c r="I455" t="s">
        <v>30</v>
      </c>
      <c r="J455" t="s">
        <v>182</v>
      </c>
      <c r="K455">
        <v>1</v>
      </c>
      <c r="L455" s="2">
        <v>32299.73</v>
      </c>
      <c r="M455">
        <v>0.2</v>
      </c>
      <c r="N455">
        <v>4464.2299999999996</v>
      </c>
    </row>
    <row r="456" spans="1:14" x14ac:dyDescent="0.35">
      <c r="A456" t="s">
        <v>949</v>
      </c>
      <c r="B456" s="1">
        <v>45821</v>
      </c>
      <c r="C456" t="s">
        <v>33</v>
      </c>
      <c r="D456" t="s">
        <v>148</v>
      </c>
      <c r="E456" t="s">
        <v>26</v>
      </c>
      <c r="F456" t="s">
        <v>121</v>
      </c>
      <c r="G456" t="s">
        <v>122</v>
      </c>
      <c r="H456" t="s">
        <v>20</v>
      </c>
      <c r="I456" t="s">
        <v>65</v>
      </c>
      <c r="J456" t="s">
        <v>66</v>
      </c>
      <c r="K456">
        <v>7</v>
      </c>
      <c r="L456" s="2">
        <v>54398.71</v>
      </c>
      <c r="M456">
        <v>0.15</v>
      </c>
      <c r="N456">
        <v>7950.49</v>
      </c>
    </row>
    <row r="457" spans="1:14" x14ac:dyDescent="0.35">
      <c r="A457" t="s">
        <v>950</v>
      </c>
      <c r="B457" s="1">
        <v>45821</v>
      </c>
      <c r="C457" t="s">
        <v>273</v>
      </c>
      <c r="D457" t="s">
        <v>458</v>
      </c>
      <c r="E457" t="s">
        <v>26</v>
      </c>
      <c r="F457" t="s">
        <v>86</v>
      </c>
      <c r="G457" t="s">
        <v>87</v>
      </c>
      <c r="H457" t="s">
        <v>38</v>
      </c>
      <c r="I457" t="s">
        <v>218</v>
      </c>
      <c r="J457" t="s">
        <v>221</v>
      </c>
      <c r="K457">
        <v>4</v>
      </c>
      <c r="L457" s="2">
        <v>644.45000000000005</v>
      </c>
      <c r="M457">
        <v>0.1</v>
      </c>
      <c r="N457">
        <v>85.17</v>
      </c>
    </row>
    <row r="458" spans="1:14" x14ac:dyDescent="0.35">
      <c r="A458" t="s">
        <v>951</v>
      </c>
      <c r="B458" s="1">
        <v>45821</v>
      </c>
      <c r="C458" t="s">
        <v>733</v>
      </c>
      <c r="D458" t="s">
        <v>730</v>
      </c>
      <c r="E458" t="s">
        <v>35</v>
      </c>
      <c r="F458" t="s">
        <v>110</v>
      </c>
      <c r="G458" t="s">
        <v>111</v>
      </c>
      <c r="H458" t="s">
        <v>20</v>
      </c>
      <c r="I458" t="s">
        <v>65</v>
      </c>
      <c r="J458" t="s">
        <v>66</v>
      </c>
      <c r="K458">
        <v>5</v>
      </c>
      <c r="L458" s="2">
        <v>40033.660000000003</v>
      </c>
      <c r="M458">
        <v>0.15</v>
      </c>
      <c r="N458">
        <v>4349.7299999999996</v>
      </c>
    </row>
    <row r="459" spans="1:14" x14ac:dyDescent="0.35">
      <c r="A459" t="s">
        <v>952</v>
      </c>
      <c r="B459" s="1">
        <v>45821</v>
      </c>
      <c r="C459" t="s">
        <v>479</v>
      </c>
      <c r="D459" t="s">
        <v>115</v>
      </c>
      <c r="E459" t="s">
        <v>51</v>
      </c>
      <c r="F459" t="s">
        <v>99</v>
      </c>
      <c r="G459" t="s">
        <v>100</v>
      </c>
      <c r="H459" t="s">
        <v>29</v>
      </c>
      <c r="I459" t="s">
        <v>94</v>
      </c>
      <c r="J459" t="s">
        <v>138</v>
      </c>
      <c r="K459">
        <v>6</v>
      </c>
      <c r="L459" s="2">
        <v>245035.51999999999</v>
      </c>
      <c r="M459">
        <v>0.05</v>
      </c>
      <c r="N459">
        <v>18343.98</v>
      </c>
    </row>
    <row r="460" spans="1:14" x14ac:dyDescent="0.35">
      <c r="A460" t="s">
        <v>953</v>
      </c>
      <c r="B460" s="1">
        <v>45821</v>
      </c>
      <c r="C460" t="s">
        <v>954</v>
      </c>
      <c r="D460" t="s">
        <v>955</v>
      </c>
      <c r="E460" t="s">
        <v>51</v>
      </c>
      <c r="F460" t="s">
        <v>99</v>
      </c>
      <c r="G460" t="s">
        <v>100</v>
      </c>
      <c r="H460" t="s">
        <v>20</v>
      </c>
      <c r="I460" t="s">
        <v>21</v>
      </c>
      <c r="J460" t="s">
        <v>72</v>
      </c>
      <c r="K460">
        <v>2</v>
      </c>
      <c r="L460" s="2">
        <v>4860.84</v>
      </c>
      <c r="M460">
        <v>0.15</v>
      </c>
      <c r="N460">
        <v>933.49</v>
      </c>
    </row>
    <row r="461" spans="1:14" x14ac:dyDescent="0.35">
      <c r="A461" t="s">
        <v>956</v>
      </c>
      <c r="B461" s="1">
        <v>45822</v>
      </c>
      <c r="C461" t="s">
        <v>144</v>
      </c>
      <c r="D461" t="s">
        <v>296</v>
      </c>
      <c r="E461" t="s">
        <v>51</v>
      </c>
      <c r="F461" t="s">
        <v>99</v>
      </c>
      <c r="G461" t="s">
        <v>482</v>
      </c>
      <c r="H461" t="s">
        <v>29</v>
      </c>
      <c r="I461" t="s">
        <v>30</v>
      </c>
      <c r="J461" t="s">
        <v>31</v>
      </c>
      <c r="K461">
        <v>3</v>
      </c>
      <c r="L461" s="2">
        <v>44734.1</v>
      </c>
      <c r="M461">
        <v>0.1</v>
      </c>
      <c r="N461">
        <v>9285.08</v>
      </c>
    </row>
    <row r="462" spans="1:14" x14ac:dyDescent="0.35">
      <c r="A462" t="s">
        <v>957</v>
      </c>
      <c r="B462" s="1">
        <v>45822</v>
      </c>
      <c r="C462" t="s">
        <v>331</v>
      </c>
      <c r="D462" t="s">
        <v>403</v>
      </c>
      <c r="E462" t="s">
        <v>35</v>
      </c>
      <c r="F462" t="s">
        <v>70</v>
      </c>
      <c r="G462" t="s">
        <v>71</v>
      </c>
      <c r="H462" t="s">
        <v>29</v>
      </c>
      <c r="I462" t="s">
        <v>58</v>
      </c>
      <c r="J462" t="s">
        <v>59</v>
      </c>
      <c r="K462">
        <v>2</v>
      </c>
      <c r="L462" s="2">
        <v>1600.43</v>
      </c>
      <c r="M462">
        <v>0.15</v>
      </c>
      <c r="N462">
        <v>227.9</v>
      </c>
    </row>
    <row r="463" spans="1:14" x14ac:dyDescent="0.35">
      <c r="A463" t="s">
        <v>958</v>
      </c>
      <c r="B463" s="1">
        <v>45823</v>
      </c>
      <c r="C463" t="s">
        <v>675</v>
      </c>
      <c r="D463" t="s">
        <v>490</v>
      </c>
      <c r="E463" t="s">
        <v>35</v>
      </c>
      <c r="F463" t="s">
        <v>128</v>
      </c>
      <c r="G463" t="s">
        <v>129</v>
      </c>
      <c r="H463" t="s">
        <v>38</v>
      </c>
      <c r="I463" t="s">
        <v>78</v>
      </c>
      <c r="J463" t="s">
        <v>79</v>
      </c>
      <c r="K463">
        <v>1</v>
      </c>
      <c r="L463" s="2">
        <v>336</v>
      </c>
      <c r="M463">
        <v>0.1</v>
      </c>
      <c r="N463">
        <v>61.87</v>
      </c>
    </row>
    <row r="464" spans="1:14" x14ac:dyDescent="0.35">
      <c r="A464" t="s">
        <v>959</v>
      </c>
      <c r="B464" s="1">
        <v>45823</v>
      </c>
      <c r="C464" t="s">
        <v>531</v>
      </c>
      <c r="D464" t="s">
        <v>960</v>
      </c>
      <c r="E464" t="s">
        <v>35</v>
      </c>
      <c r="F464" t="s">
        <v>70</v>
      </c>
      <c r="G464" t="s">
        <v>297</v>
      </c>
      <c r="H464" t="s">
        <v>38</v>
      </c>
      <c r="I464" t="s">
        <v>39</v>
      </c>
      <c r="J464" t="s">
        <v>40</v>
      </c>
      <c r="K464">
        <v>5</v>
      </c>
      <c r="L464" s="2">
        <v>2337.44</v>
      </c>
      <c r="M464">
        <v>0.05</v>
      </c>
      <c r="N464">
        <v>493.46</v>
      </c>
    </row>
    <row r="465" spans="1:14" x14ac:dyDescent="0.35">
      <c r="A465" t="s">
        <v>961</v>
      </c>
      <c r="B465" s="1">
        <v>45824</v>
      </c>
      <c r="C465" t="s">
        <v>545</v>
      </c>
      <c r="D465" t="s">
        <v>245</v>
      </c>
      <c r="E465" t="s">
        <v>17</v>
      </c>
      <c r="F465" t="s">
        <v>76</v>
      </c>
      <c r="G465" t="s">
        <v>77</v>
      </c>
      <c r="H465" t="s">
        <v>38</v>
      </c>
      <c r="I465" t="s">
        <v>39</v>
      </c>
      <c r="J465" t="s">
        <v>40</v>
      </c>
      <c r="K465">
        <v>4</v>
      </c>
      <c r="L465" s="2">
        <v>1637.93</v>
      </c>
      <c r="M465">
        <v>0.15</v>
      </c>
      <c r="N465">
        <v>95.75</v>
      </c>
    </row>
    <row r="466" spans="1:14" x14ac:dyDescent="0.35">
      <c r="A466" t="s">
        <v>962</v>
      </c>
      <c r="B466" s="1">
        <v>45824</v>
      </c>
      <c r="C466" t="s">
        <v>356</v>
      </c>
      <c r="D466" t="s">
        <v>619</v>
      </c>
      <c r="E466" t="s">
        <v>17</v>
      </c>
      <c r="F466" t="s">
        <v>185</v>
      </c>
      <c r="G466" t="s">
        <v>528</v>
      </c>
      <c r="H466" t="s">
        <v>29</v>
      </c>
      <c r="I466" t="s">
        <v>58</v>
      </c>
      <c r="J466" t="s">
        <v>300</v>
      </c>
      <c r="K466">
        <v>2</v>
      </c>
      <c r="L466" s="2">
        <v>2910.1</v>
      </c>
      <c r="M466">
        <v>0</v>
      </c>
      <c r="N466">
        <v>482.69</v>
      </c>
    </row>
    <row r="467" spans="1:14" x14ac:dyDescent="0.35">
      <c r="A467" t="s">
        <v>963</v>
      </c>
      <c r="B467" s="1">
        <v>45824</v>
      </c>
      <c r="C467" t="s">
        <v>363</v>
      </c>
      <c r="D467" t="s">
        <v>357</v>
      </c>
      <c r="E467" t="s">
        <v>26</v>
      </c>
      <c r="F467" t="s">
        <v>27</v>
      </c>
      <c r="G467" t="s">
        <v>28</v>
      </c>
      <c r="H467" t="s">
        <v>20</v>
      </c>
      <c r="I467" t="s">
        <v>65</v>
      </c>
      <c r="J467" t="s">
        <v>142</v>
      </c>
      <c r="K467">
        <v>7</v>
      </c>
      <c r="L467" s="2">
        <v>136478.17000000001</v>
      </c>
      <c r="M467">
        <v>0.1</v>
      </c>
      <c r="N467">
        <v>15978.31</v>
      </c>
    </row>
    <row r="468" spans="1:14" x14ac:dyDescent="0.35">
      <c r="A468" t="s">
        <v>964</v>
      </c>
      <c r="B468" s="1">
        <v>45824</v>
      </c>
      <c r="C468" t="s">
        <v>160</v>
      </c>
      <c r="D468" t="s">
        <v>670</v>
      </c>
      <c r="E468" t="s">
        <v>35</v>
      </c>
      <c r="F468" t="s">
        <v>128</v>
      </c>
      <c r="G468" t="s">
        <v>129</v>
      </c>
      <c r="H468" t="s">
        <v>29</v>
      </c>
      <c r="I468" t="s">
        <v>30</v>
      </c>
      <c r="J468" t="s">
        <v>31</v>
      </c>
      <c r="K468">
        <v>1</v>
      </c>
      <c r="L468" s="2">
        <v>16329.2</v>
      </c>
      <c r="M468">
        <v>0.05</v>
      </c>
      <c r="N468">
        <v>1199.8900000000001</v>
      </c>
    </row>
    <row r="469" spans="1:14" x14ac:dyDescent="0.35">
      <c r="A469" t="s">
        <v>965</v>
      </c>
      <c r="B469" s="1">
        <v>45824</v>
      </c>
      <c r="C469" t="s">
        <v>311</v>
      </c>
      <c r="D469" t="s">
        <v>391</v>
      </c>
      <c r="E469" t="s">
        <v>17</v>
      </c>
      <c r="F469" t="s">
        <v>185</v>
      </c>
      <c r="G469" t="s">
        <v>186</v>
      </c>
      <c r="H469" t="s">
        <v>29</v>
      </c>
      <c r="I469" t="s">
        <v>94</v>
      </c>
      <c r="J469" t="s">
        <v>138</v>
      </c>
      <c r="K469">
        <v>2</v>
      </c>
      <c r="L469" s="2">
        <v>95212.61</v>
      </c>
      <c r="M469">
        <v>0</v>
      </c>
      <c r="N469">
        <v>13599.14</v>
      </c>
    </row>
    <row r="470" spans="1:14" x14ac:dyDescent="0.35">
      <c r="A470" t="s">
        <v>966</v>
      </c>
      <c r="B470" s="1">
        <v>45824</v>
      </c>
      <c r="C470" t="s">
        <v>463</v>
      </c>
      <c r="D470" t="s">
        <v>312</v>
      </c>
      <c r="E470" t="s">
        <v>35</v>
      </c>
      <c r="F470" t="s">
        <v>128</v>
      </c>
      <c r="G470" t="s">
        <v>129</v>
      </c>
      <c r="H470" t="s">
        <v>29</v>
      </c>
      <c r="I470" t="s">
        <v>58</v>
      </c>
      <c r="J470" t="s">
        <v>88</v>
      </c>
      <c r="K470">
        <v>7</v>
      </c>
      <c r="L470" s="2">
        <v>15771.06</v>
      </c>
      <c r="M470">
        <v>0.1</v>
      </c>
      <c r="N470">
        <v>3446.45</v>
      </c>
    </row>
    <row r="471" spans="1:14" x14ac:dyDescent="0.35">
      <c r="A471" t="s">
        <v>967</v>
      </c>
      <c r="B471" s="1">
        <v>45825</v>
      </c>
      <c r="C471" t="s">
        <v>247</v>
      </c>
      <c r="D471" t="s">
        <v>184</v>
      </c>
      <c r="E471" t="s">
        <v>51</v>
      </c>
      <c r="F471" t="s">
        <v>52</v>
      </c>
      <c r="G471" t="s">
        <v>57</v>
      </c>
      <c r="H471" t="s">
        <v>29</v>
      </c>
      <c r="I471" t="s">
        <v>30</v>
      </c>
      <c r="J471" t="s">
        <v>112</v>
      </c>
      <c r="K471">
        <v>2</v>
      </c>
      <c r="L471" s="2">
        <v>51656.75</v>
      </c>
      <c r="M471">
        <v>0.05</v>
      </c>
      <c r="N471">
        <v>6753.48</v>
      </c>
    </row>
    <row r="472" spans="1:14" x14ac:dyDescent="0.35">
      <c r="A472" t="s">
        <v>968</v>
      </c>
      <c r="B472" s="1">
        <v>45825</v>
      </c>
      <c r="C472" t="s">
        <v>781</v>
      </c>
      <c r="D472" t="s">
        <v>133</v>
      </c>
      <c r="E472" t="s">
        <v>26</v>
      </c>
      <c r="F472" t="s">
        <v>121</v>
      </c>
      <c r="G472" t="s">
        <v>122</v>
      </c>
      <c r="H472" t="s">
        <v>38</v>
      </c>
      <c r="I472" t="s">
        <v>39</v>
      </c>
      <c r="J472" t="s">
        <v>134</v>
      </c>
      <c r="K472">
        <v>4</v>
      </c>
      <c r="L472" s="2">
        <v>2790.98</v>
      </c>
      <c r="M472">
        <v>0</v>
      </c>
      <c r="N472">
        <v>457.66</v>
      </c>
    </row>
    <row r="473" spans="1:14" x14ac:dyDescent="0.35">
      <c r="A473" t="s">
        <v>969</v>
      </c>
      <c r="B473" s="1">
        <v>45826</v>
      </c>
      <c r="C473" t="s">
        <v>597</v>
      </c>
      <c r="D473" t="s">
        <v>970</v>
      </c>
      <c r="E473" t="s">
        <v>51</v>
      </c>
      <c r="F473" t="s">
        <v>92</v>
      </c>
      <c r="G473" t="s">
        <v>178</v>
      </c>
      <c r="H473" t="s">
        <v>20</v>
      </c>
      <c r="I473" t="s">
        <v>21</v>
      </c>
      <c r="J473" t="s">
        <v>22</v>
      </c>
      <c r="K473">
        <v>5</v>
      </c>
      <c r="L473" s="2">
        <v>27316.14</v>
      </c>
      <c r="M473">
        <v>0.1</v>
      </c>
      <c r="N473">
        <v>2257.21</v>
      </c>
    </row>
    <row r="474" spans="1:14" x14ac:dyDescent="0.35">
      <c r="A474" t="s">
        <v>971</v>
      </c>
      <c r="B474" s="1">
        <v>45826</v>
      </c>
      <c r="C474" t="s">
        <v>972</v>
      </c>
      <c r="D474" t="s">
        <v>616</v>
      </c>
      <c r="E474" t="s">
        <v>17</v>
      </c>
      <c r="F474" t="s">
        <v>76</v>
      </c>
      <c r="G474" t="s">
        <v>77</v>
      </c>
      <c r="H474" t="s">
        <v>29</v>
      </c>
      <c r="I474" t="s">
        <v>30</v>
      </c>
      <c r="J474" t="s">
        <v>112</v>
      </c>
      <c r="K474">
        <v>1</v>
      </c>
      <c r="L474" s="2">
        <v>28214.080000000002</v>
      </c>
      <c r="M474">
        <v>0</v>
      </c>
      <c r="N474">
        <v>6664.51</v>
      </c>
    </row>
    <row r="475" spans="1:14" x14ac:dyDescent="0.35">
      <c r="A475" t="s">
        <v>973</v>
      </c>
      <c r="B475" s="1">
        <v>45826</v>
      </c>
      <c r="C475" t="s">
        <v>136</v>
      </c>
      <c r="D475" t="s">
        <v>906</v>
      </c>
      <c r="E475" t="s">
        <v>35</v>
      </c>
      <c r="F475" t="s">
        <v>110</v>
      </c>
      <c r="G475" t="s">
        <v>111</v>
      </c>
      <c r="H475" t="s">
        <v>20</v>
      </c>
      <c r="I475" t="s">
        <v>65</v>
      </c>
      <c r="J475" t="s">
        <v>66</v>
      </c>
      <c r="K475">
        <v>7</v>
      </c>
      <c r="L475" s="2">
        <v>65504.82</v>
      </c>
      <c r="M475">
        <v>0.05</v>
      </c>
      <c r="N475">
        <v>4871.2</v>
      </c>
    </row>
    <row r="476" spans="1:14" x14ac:dyDescent="0.35">
      <c r="A476" t="s">
        <v>974</v>
      </c>
      <c r="B476" s="1">
        <v>45826</v>
      </c>
      <c r="C476" t="s">
        <v>833</v>
      </c>
      <c r="D476" t="s">
        <v>474</v>
      </c>
      <c r="E476" t="s">
        <v>51</v>
      </c>
      <c r="F476" t="s">
        <v>92</v>
      </c>
      <c r="G476" t="s">
        <v>93</v>
      </c>
      <c r="H476" t="s">
        <v>38</v>
      </c>
      <c r="I476" t="s">
        <v>39</v>
      </c>
      <c r="J476" t="s">
        <v>40</v>
      </c>
      <c r="K476">
        <v>7</v>
      </c>
      <c r="L476" s="2">
        <v>2802.39</v>
      </c>
      <c r="M476">
        <v>0.1</v>
      </c>
      <c r="N476">
        <v>201.26</v>
      </c>
    </row>
    <row r="477" spans="1:14" x14ac:dyDescent="0.35">
      <c r="A477" t="s">
        <v>975</v>
      </c>
      <c r="B477" s="1">
        <v>45827</v>
      </c>
      <c r="C477" t="s">
        <v>752</v>
      </c>
      <c r="D477" t="s">
        <v>339</v>
      </c>
      <c r="E477" t="s">
        <v>26</v>
      </c>
      <c r="F477" t="s">
        <v>121</v>
      </c>
      <c r="G477" t="s">
        <v>122</v>
      </c>
      <c r="H477" t="s">
        <v>20</v>
      </c>
      <c r="I477" t="s">
        <v>65</v>
      </c>
      <c r="J477" t="s">
        <v>66</v>
      </c>
      <c r="K477">
        <v>4</v>
      </c>
      <c r="L477" s="2">
        <v>34188.74</v>
      </c>
      <c r="M477">
        <v>0.05</v>
      </c>
      <c r="N477">
        <v>2485.67</v>
      </c>
    </row>
    <row r="478" spans="1:14" x14ac:dyDescent="0.35">
      <c r="A478" t="s">
        <v>976</v>
      </c>
      <c r="B478" s="1">
        <v>45828</v>
      </c>
      <c r="C478" t="s">
        <v>251</v>
      </c>
      <c r="D478" t="s">
        <v>436</v>
      </c>
      <c r="E478" t="s">
        <v>35</v>
      </c>
      <c r="F478" t="s">
        <v>70</v>
      </c>
      <c r="G478" t="s">
        <v>71</v>
      </c>
      <c r="H478" t="s">
        <v>29</v>
      </c>
      <c r="I478" t="s">
        <v>58</v>
      </c>
      <c r="J478" t="s">
        <v>88</v>
      </c>
      <c r="K478">
        <v>6</v>
      </c>
      <c r="L478" s="2">
        <v>14444.41</v>
      </c>
      <c r="M478">
        <v>0</v>
      </c>
      <c r="N478">
        <v>2146.91</v>
      </c>
    </row>
    <row r="479" spans="1:14" x14ac:dyDescent="0.35">
      <c r="A479" t="s">
        <v>977</v>
      </c>
      <c r="B479" s="1">
        <v>45828</v>
      </c>
      <c r="C479" t="s">
        <v>24</v>
      </c>
      <c r="D479" t="s">
        <v>304</v>
      </c>
      <c r="E479" t="s">
        <v>26</v>
      </c>
      <c r="F479" t="s">
        <v>121</v>
      </c>
      <c r="G479" t="s">
        <v>214</v>
      </c>
      <c r="H479" t="s">
        <v>20</v>
      </c>
      <c r="I479" t="s">
        <v>65</v>
      </c>
      <c r="J479" t="s">
        <v>117</v>
      </c>
      <c r="K479">
        <v>6</v>
      </c>
      <c r="L479" s="2">
        <v>31711.759999999998</v>
      </c>
      <c r="M479">
        <v>0</v>
      </c>
      <c r="N479">
        <v>6047.34</v>
      </c>
    </row>
    <row r="480" spans="1:14" x14ac:dyDescent="0.35">
      <c r="A480" t="s">
        <v>978</v>
      </c>
      <c r="B480" s="1">
        <v>45829</v>
      </c>
      <c r="C480" t="s">
        <v>979</v>
      </c>
      <c r="D480" t="s">
        <v>403</v>
      </c>
      <c r="E480" t="s">
        <v>26</v>
      </c>
      <c r="F480" t="s">
        <v>27</v>
      </c>
      <c r="G480" t="s">
        <v>267</v>
      </c>
      <c r="H480" t="s">
        <v>38</v>
      </c>
      <c r="I480" t="s">
        <v>78</v>
      </c>
      <c r="J480" t="s">
        <v>174</v>
      </c>
      <c r="K480">
        <v>7</v>
      </c>
      <c r="L480" s="2">
        <v>3249.04</v>
      </c>
      <c r="M480">
        <v>0</v>
      </c>
      <c r="N480">
        <v>414.86</v>
      </c>
    </row>
    <row r="481" spans="1:14" x14ac:dyDescent="0.35">
      <c r="A481" t="s">
        <v>980</v>
      </c>
      <c r="B481" s="1">
        <v>45829</v>
      </c>
      <c r="C481" t="s">
        <v>611</v>
      </c>
      <c r="D481" t="s">
        <v>193</v>
      </c>
      <c r="E481" t="s">
        <v>17</v>
      </c>
      <c r="F481" t="s">
        <v>76</v>
      </c>
      <c r="G481" t="s">
        <v>77</v>
      </c>
      <c r="H481" t="s">
        <v>38</v>
      </c>
      <c r="I481" t="s">
        <v>218</v>
      </c>
      <c r="J481" t="s">
        <v>219</v>
      </c>
      <c r="K481">
        <v>6</v>
      </c>
      <c r="L481" s="2">
        <v>1856.21</v>
      </c>
      <c r="M481">
        <v>0.05</v>
      </c>
      <c r="N481">
        <v>100.87</v>
      </c>
    </row>
    <row r="482" spans="1:14" x14ac:dyDescent="0.35">
      <c r="A482" t="s">
        <v>981</v>
      </c>
      <c r="B482" s="1">
        <v>45830</v>
      </c>
      <c r="C482" t="s">
        <v>697</v>
      </c>
      <c r="D482" t="s">
        <v>543</v>
      </c>
      <c r="E482" t="s">
        <v>17</v>
      </c>
      <c r="F482" t="s">
        <v>18</v>
      </c>
      <c r="G482" t="s">
        <v>19</v>
      </c>
      <c r="H482" t="s">
        <v>29</v>
      </c>
      <c r="I482" t="s">
        <v>30</v>
      </c>
      <c r="J482" t="s">
        <v>31</v>
      </c>
      <c r="K482">
        <v>2</v>
      </c>
      <c r="L482" s="2">
        <v>37450.36</v>
      </c>
      <c r="M482">
        <v>0</v>
      </c>
      <c r="N482">
        <v>6077.76</v>
      </c>
    </row>
    <row r="483" spans="1:14" x14ac:dyDescent="0.35">
      <c r="A483" t="s">
        <v>982</v>
      </c>
      <c r="B483" s="1">
        <v>45830</v>
      </c>
      <c r="C483" t="s">
        <v>385</v>
      </c>
      <c r="D483" t="s">
        <v>85</v>
      </c>
      <c r="E483" t="s">
        <v>35</v>
      </c>
      <c r="F483" t="s">
        <v>110</v>
      </c>
      <c r="G483" t="s">
        <v>111</v>
      </c>
      <c r="H483" t="s">
        <v>29</v>
      </c>
      <c r="I483" t="s">
        <v>30</v>
      </c>
      <c r="J483" t="s">
        <v>31</v>
      </c>
      <c r="K483">
        <v>2</v>
      </c>
      <c r="L483" s="2">
        <v>33012.29</v>
      </c>
      <c r="M483">
        <v>0.05</v>
      </c>
      <c r="N483">
        <v>3066.57</v>
      </c>
    </row>
    <row r="484" spans="1:14" x14ac:dyDescent="0.35">
      <c r="A484" t="s">
        <v>983</v>
      </c>
      <c r="B484" s="1">
        <v>45830</v>
      </c>
      <c r="C484" t="s">
        <v>570</v>
      </c>
      <c r="D484" t="s">
        <v>377</v>
      </c>
      <c r="E484" t="s">
        <v>51</v>
      </c>
      <c r="F484" t="s">
        <v>52</v>
      </c>
      <c r="G484" t="s">
        <v>53</v>
      </c>
      <c r="H484" t="s">
        <v>38</v>
      </c>
      <c r="I484" t="s">
        <v>39</v>
      </c>
      <c r="J484" t="s">
        <v>40</v>
      </c>
      <c r="K484">
        <v>5</v>
      </c>
      <c r="L484" s="2">
        <v>2362.66</v>
      </c>
      <c r="M484">
        <v>0</v>
      </c>
      <c r="N484">
        <v>522.23</v>
      </c>
    </row>
    <row r="485" spans="1:14" x14ac:dyDescent="0.35">
      <c r="A485" t="s">
        <v>984</v>
      </c>
      <c r="B485" s="1">
        <v>45831</v>
      </c>
      <c r="C485" t="s">
        <v>309</v>
      </c>
      <c r="D485" t="s">
        <v>202</v>
      </c>
      <c r="E485" t="s">
        <v>35</v>
      </c>
      <c r="F485" t="s">
        <v>36</v>
      </c>
      <c r="G485" t="s">
        <v>255</v>
      </c>
      <c r="H485" t="s">
        <v>38</v>
      </c>
      <c r="I485" t="s">
        <v>218</v>
      </c>
      <c r="J485" t="s">
        <v>221</v>
      </c>
      <c r="K485">
        <v>4</v>
      </c>
      <c r="L485" s="2">
        <v>650.16</v>
      </c>
      <c r="M485">
        <v>0.1</v>
      </c>
      <c r="N485">
        <v>57.44</v>
      </c>
    </row>
    <row r="486" spans="1:14" x14ac:dyDescent="0.35">
      <c r="A486" t="s">
        <v>985</v>
      </c>
      <c r="B486" s="1">
        <v>45831</v>
      </c>
      <c r="C486" t="s">
        <v>800</v>
      </c>
      <c r="D486" t="s">
        <v>540</v>
      </c>
      <c r="E486" t="s">
        <v>51</v>
      </c>
      <c r="F486" t="s">
        <v>52</v>
      </c>
      <c r="G486" t="s">
        <v>53</v>
      </c>
      <c r="H486" t="s">
        <v>38</v>
      </c>
      <c r="I486" t="s">
        <v>78</v>
      </c>
      <c r="J486" t="s">
        <v>307</v>
      </c>
      <c r="K486">
        <v>3</v>
      </c>
      <c r="L486" s="2">
        <v>1410.98</v>
      </c>
      <c r="M486">
        <v>0.15</v>
      </c>
      <c r="N486">
        <v>81.2</v>
      </c>
    </row>
    <row r="487" spans="1:14" x14ac:dyDescent="0.35">
      <c r="A487" t="s">
        <v>986</v>
      </c>
      <c r="B487" s="1">
        <v>45832</v>
      </c>
      <c r="C487" t="s">
        <v>892</v>
      </c>
      <c r="D487" t="s">
        <v>248</v>
      </c>
      <c r="E487" t="s">
        <v>17</v>
      </c>
      <c r="F487" t="s">
        <v>18</v>
      </c>
      <c r="G487" t="s">
        <v>19</v>
      </c>
      <c r="H487" t="s">
        <v>20</v>
      </c>
      <c r="I487" t="s">
        <v>46</v>
      </c>
      <c r="J487" t="s">
        <v>47</v>
      </c>
      <c r="K487">
        <v>1</v>
      </c>
      <c r="L487" s="2">
        <v>5620.05</v>
      </c>
      <c r="M487">
        <v>0.15</v>
      </c>
      <c r="N487">
        <v>539.41</v>
      </c>
    </row>
    <row r="488" spans="1:14" x14ac:dyDescent="0.35">
      <c r="A488" t="s">
        <v>987</v>
      </c>
      <c r="B488" s="1">
        <v>45833</v>
      </c>
      <c r="C488" t="s">
        <v>180</v>
      </c>
      <c r="D488" t="s">
        <v>168</v>
      </c>
      <c r="E488" t="s">
        <v>35</v>
      </c>
      <c r="F488" t="s">
        <v>110</v>
      </c>
      <c r="G488" t="s">
        <v>111</v>
      </c>
      <c r="H488" t="s">
        <v>29</v>
      </c>
      <c r="I488" t="s">
        <v>30</v>
      </c>
      <c r="J488" t="s">
        <v>112</v>
      </c>
      <c r="K488">
        <v>2</v>
      </c>
      <c r="L488" s="2">
        <v>49969.89</v>
      </c>
      <c r="M488">
        <v>0.05</v>
      </c>
      <c r="N488">
        <v>9073.75</v>
      </c>
    </row>
    <row r="489" spans="1:14" x14ac:dyDescent="0.35">
      <c r="A489" t="s">
        <v>988</v>
      </c>
      <c r="B489" s="1">
        <v>45833</v>
      </c>
      <c r="C489" t="s">
        <v>33</v>
      </c>
      <c r="D489" t="s">
        <v>450</v>
      </c>
      <c r="E489" t="s">
        <v>17</v>
      </c>
      <c r="F489" t="s">
        <v>18</v>
      </c>
      <c r="G489" t="s">
        <v>19</v>
      </c>
      <c r="H489" t="s">
        <v>29</v>
      </c>
      <c r="I489" t="s">
        <v>30</v>
      </c>
      <c r="J489" t="s">
        <v>31</v>
      </c>
      <c r="K489">
        <v>2</v>
      </c>
      <c r="L489" s="2">
        <v>30358.66</v>
      </c>
      <c r="M489">
        <v>0.15</v>
      </c>
      <c r="N489">
        <v>5028.91</v>
      </c>
    </row>
    <row r="490" spans="1:14" x14ac:dyDescent="0.35">
      <c r="A490" t="s">
        <v>989</v>
      </c>
      <c r="B490" s="1">
        <v>45834</v>
      </c>
      <c r="C490" t="s">
        <v>933</v>
      </c>
      <c r="D490" t="s">
        <v>240</v>
      </c>
      <c r="E490" t="s">
        <v>35</v>
      </c>
      <c r="F490" t="s">
        <v>110</v>
      </c>
      <c r="G490" t="s">
        <v>111</v>
      </c>
      <c r="H490" t="s">
        <v>20</v>
      </c>
      <c r="I490" t="s">
        <v>21</v>
      </c>
      <c r="J490" t="s">
        <v>197</v>
      </c>
      <c r="K490">
        <v>2</v>
      </c>
      <c r="L490" s="2">
        <v>18840.759999999998</v>
      </c>
      <c r="M490">
        <v>0.2</v>
      </c>
      <c r="N490">
        <v>2850.87</v>
      </c>
    </row>
    <row r="491" spans="1:14" x14ac:dyDescent="0.35">
      <c r="A491" t="s">
        <v>990</v>
      </c>
      <c r="B491" s="1">
        <v>45835</v>
      </c>
      <c r="C491" t="s">
        <v>991</v>
      </c>
      <c r="D491" t="s">
        <v>196</v>
      </c>
      <c r="E491" t="s">
        <v>51</v>
      </c>
      <c r="F491" t="s">
        <v>92</v>
      </c>
      <c r="G491" t="s">
        <v>93</v>
      </c>
      <c r="H491" t="s">
        <v>20</v>
      </c>
      <c r="I491" t="s">
        <v>65</v>
      </c>
      <c r="J491" t="s">
        <v>142</v>
      </c>
      <c r="K491">
        <v>4</v>
      </c>
      <c r="L491" s="2">
        <v>92513.37</v>
      </c>
      <c r="M491">
        <v>0</v>
      </c>
      <c r="N491">
        <v>16818.560000000001</v>
      </c>
    </row>
    <row r="492" spans="1:14" x14ac:dyDescent="0.35">
      <c r="A492" t="s">
        <v>992</v>
      </c>
      <c r="B492" s="1">
        <v>45835</v>
      </c>
      <c r="C492" t="s">
        <v>370</v>
      </c>
      <c r="D492" t="s">
        <v>601</v>
      </c>
      <c r="E492" t="s">
        <v>26</v>
      </c>
      <c r="F492" t="s">
        <v>27</v>
      </c>
      <c r="G492" t="s">
        <v>28</v>
      </c>
      <c r="H492" t="s">
        <v>38</v>
      </c>
      <c r="I492" t="s">
        <v>218</v>
      </c>
      <c r="J492" t="s">
        <v>219</v>
      </c>
      <c r="K492">
        <v>6</v>
      </c>
      <c r="L492" s="2">
        <v>1864.58</v>
      </c>
      <c r="M492">
        <v>0</v>
      </c>
      <c r="N492">
        <v>310.5</v>
      </c>
    </row>
    <row r="493" spans="1:14" x14ac:dyDescent="0.35">
      <c r="A493" t="s">
        <v>993</v>
      </c>
      <c r="B493" s="1">
        <v>45835</v>
      </c>
      <c r="C493" t="s">
        <v>419</v>
      </c>
      <c r="D493" t="s">
        <v>804</v>
      </c>
      <c r="E493" t="s">
        <v>35</v>
      </c>
      <c r="F493" t="s">
        <v>70</v>
      </c>
      <c r="G493" t="s">
        <v>297</v>
      </c>
      <c r="H493" t="s">
        <v>38</v>
      </c>
      <c r="I493" t="s">
        <v>218</v>
      </c>
      <c r="J493" t="s">
        <v>221</v>
      </c>
      <c r="K493">
        <v>4</v>
      </c>
      <c r="L493" s="2">
        <v>556.46</v>
      </c>
      <c r="M493">
        <v>0.2</v>
      </c>
      <c r="N493">
        <v>29.71</v>
      </c>
    </row>
    <row r="494" spans="1:14" x14ac:dyDescent="0.35">
      <c r="A494" t="s">
        <v>994</v>
      </c>
      <c r="B494" s="1">
        <v>45836</v>
      </c>
      <c r="C494" t="s">
        <v>180</v>
      </c>
      <c r="D494" t="s">
        <v>380</v>
      </c>
      <c r="E494" t="s">
        <v>35</v>
      </c>
      <c r="F494" t="s">
        <v>36</v>
      </c>
      <c r="G494" t="s">
        <v>37</v>
      </c>
      <c r="H494" t="s">
        <v>20</v>
      </c>
      <c r="I494" t="s">
        <v>46</v>
      </c>
      <c r="J494" t="s">
        <v>130</v>
      </c>
      <c r="K494">
        <v>3</v>
      </c>
      <c r="L494" s="2">
        <v>23073.46</v>
      </c>
      <c r="M494">
        <v>0.15</v>
      </c>
      <c r="N494">
        <v>1802.84</v>
      </c>
    </row>
    <row r="495" spans="1:14" x14ac:dyDescent="0.35">
      <c r="A495" t="s">
        <v>995</v>
      </c>
      <c r="B495" s="1">
        <v>45836</v>
      </c>
      <c r="C495" t="s">
        <v>603</v>
      </c>
      <c r="D495" t="s">
        <v>996</v>
      </c>
      <c r="E495" t="s">
        <v>26</v>
      </c>
      <c r="F495" t="s">
        <v>121</v>
      </c>
      <c r="G495" t="s">
        <v>214</v>
      </c>
      <c r="H495" t="s">
        <v>20</v>
      </c>
      <c r="I495" t="s">
        <v>65</v>
      </c>
      <c r="J495" t="s">
        <v>142</v>
      </c>
      <c r="K495">
        <v>3</v>
      </c>
      <c r="L495" s="2">
        <v>66812.55</v>
      </c>
      <c r="M495">
        <v>0.05</v>
      </c>
      <c r="N495">
        <v>7878.35</v>
      </c>
    </row>
    <row r="496" spans="1:14" x14ac:dyDescent="0.35">
      <c r="A496" t="s">
        <v>997</v>
      </c>
      <c r="B496" s="1">
        <v>45837</v>
      </c>
      <c r="C496" t="s">
        <v>273</v>
      </c>
      <c r="D496" t="s">
        <v>50</v>
      </c>
      <c r="E496" t="s">
        <v>51</v>
      </c>
      <c r="F496" t="s">
        <v>92</v>
      </c>
      <c r="G496" t="s">
        <v>178</v>
      </c>
      <c r="H496" t="s">
        <v>29</v>
      </c>
      <c r="I496" t="s">
        <v>94</v>
      </c>
      <c r="J496" t="s">
        <v>138</v>
      </c>
      <c r="K496">
        <v>4</v>
      </c>
      <c r="L496" s="2">
        <v>143223.60999999999</v>
      </c>
      <c r="M496">
        <v>0.15</v>
      </c>
      <c r="N496">
        <v>10480.719999999999</v>
      </c>
    </row>
    <row r="497" spans="1:14" x14ac:dyDescent="0.35">
      <c r="A497" t="s">
        <v>998</v>
      </c>
      <c r="B497" s="1">
        <v>45837</v>
      </c>
      <c r="C497" t="s">
        <v>999</v>
      </c>
      <c r="D497" t="s">
        <v>240</v>
      </c>
      <c r="E497" t="s">
        <v>26</v>
      </c>
      <c r="F497" t="s">
        <v>86</v>
      </c>
      <c r="G497" t="s">
        <v>87</v>
      </c>
      <c r="H497" t="s">
        <v>38</v>
      </c>
      <c r="I497" t="s">
        <v>218</v>
      </c>
      <c r="J497" t="s">
        <v>219</v>
      </c>
      <c r="K497">
        <v>3</v>
      </c>
      <c r="L497" s="2">
        <v>859.59</v>
      </c>
      <c r="M497">
        <v>0.05</v>
      </c>
      <c r="N497">
        <v>70.27</v>
      </c>
    </row>
    <row r="498" spans="1:14" x14ac:dyDescent="0.35">
      <c r="A498" t="s">
        <v>1000</v>
      </c>
      <c r="B498" s="1">
        <v>45839</v>
      </c>
      <c r="C498" t="s">
        <v>144</v>
      </c>
      <c r="D498" t="s">
        <v>433</v>
      </c>
      <c r="E498" t="s">
        <v>51</v>
      </c>
      <c r="F498" t="s">
        <v>63</v>
      </c>
      <c r="G498" t="s">
        <v>324</v>
      </c>
      <c r="H498" t="s">
        <v>29</v>
      </c>
      <c r="I498" t="s">
        <v>30</v>
      </c>
      <c r="J498" t="s">
        <v>112</v>
      </c>
      <c r="K498">
        <v>5</v>
      </c>
      <c r="L498" s="2">
        <v>132650.84</v>
      </c>
      <c r="M498">
        <v>0</v>
      </c>
      <c r="N498">
        <v>21027.599999999999</v>
      </c>
    </row>
    <row r="499" spans="1:14" x14ac:dyDescent="0.35">
      <c r="A499" t="s">
        <v>1001</v>
      </c>
      <c r="B499" s="1">
        <v>45839</v>
      </c>
      <c r="C499" t="s">
        <v>286</v>
      </c>
      <c r="D499" t="s">
        <v>270</v>
      </c>
      <c r="E499" t="s">
        <v>26</v>
      </c>
      <c r="F499" t="s">
        <v>27</v>
      </c>
      <c r="G499" t="s">
        <v>28</v>
      </c>
      <c r="H499" t="s">
        <v>38</v>
      </c>
      <c r="I499" t="s">
        <v>39</v>
      </c>
      <c r="J499" t="s">
        <v>258</v>
      </c>
      <c r="K499">
        <v>4</v>
      </c>
      <c r="L499" s="2">
        <v>2233.77</v>
      </c>
      <c r="M499">
        <v>0.2</v>
      </c>
      <c r="N499">
        <v>249.32</v>
      </c>
    </row>
    <row r="500" spans="1:14" x14ac:dyDescent="0.35">
      <c r="A500" t="s">
        <v>1002</v>
      </c>
      <c r="B500" s="1">
        <v>45839</v>
      </c>
      <c r="C500" t="s">
        <v>526</v>
      </c>
      <c r="D500" t="s">
        <v>906</v>
      </c>
      <c r="E500" t="s">
        <v>51</v>
      </c>
      <c r="F500" t="s">
        <v>52</v>
      </c>
      <c r="G500" t="s">
        <v>53</v>
      </c>
      <c r="H500" t="s">
        <v>29</v>
      </c>
      <c r="I500" t="s">
        <v>58</v>
      </c>
      <c r="J500" t="s">
        <v>88</v>
      </c>
      <c r="K500">
        <v>7</v>
      </c>
      <c r="L500" s="2">
        <v>13438.98</v>
      </c>
      <c r="M500">
        <v>0.2</v>
      </c>
      <c r="N500">
        <v>926.63</v>
      </c>
    </row>
    <row r="501" spans="1:14" x14ac:dyDescent="0.35">
      <c r="A501" t="s">
        <v>1003</v>
      </c>
      <c r="B501" s="1">
        <v>45839</v>
      </c>
      <c r="C501" t="s">
        <v>494</v>
      </c>
      <c r="D501" t="s">
        <v>642</v>
      </c>
      <c r="E501" t="s">
        <v>51</v>
      </c>
      <c r="F501" t="s">
        <v>52</v>
      </c>
      <c r="G501" t="s">
        <v>57</v>
      </c>
      <c r="H501" t="s">
        <v>20</v>
      </c>
      <c r="I501" t="s">
        <v>46</v>
      </c>
      <c r="J501" t="s">
        <v>130</v>
      </c>
      <c r="K501">
        <v>5</v>
      </c>
      <c r="L501" s="2">
        <v>36737.49</v>
      </c>
      <c r="M501">
        <v>0.1</v>
      </c>
      <c r="N501">
        <v>5289.23</v>
      </c>
    </row>
    <row r="502" spans="1:14" x14ac:dyDescent="0.35">
      <c r="A502" t="s">
        <v>1004</v>
      </c>
      <c r="B502" s="1">
        <v>45842</v>
      </c>
      <c r="C502" t="s">
        <v>460</v>
      </c>
      <c r="D502" t="s">
        <v>1005</v>
      </c>
      <c r="E502" t="s">
        <v>35</v>
      </c>
      <c r="F502" t="s">
        <v>128</v>
      </c>
      <c r="G502" t="s">
        <v>129</v>
      </c>
      <c r="H502" t="s">
        <v>29</v>
      </c>
      <c r="I502" t="s">
        <v>58</v>
      </c>
      <c r="J502" t="s">
        <v>88</v>
      </c>
      <c r="K502">
        <v>2</v>
      </c>
      <c r="L502" s="2">
        <v>4843.59</v>
      </c>
      <c r="M502">
        <v>0.05</v>
      </c>
      <c r="N502">
        <v>975.01</v>
      </c>
    </row>
    <row r="503" spans="1:14" x14ac:dyDescent="0.35">
      <c r="A503" t="s">
        <v>1006</v>
      </c>
      <c r="B503" s="1">
        <v>45843</v>
      </c>
      <c r="C503" t="s">
        <v>623</v>
      </c>
      <c r="D503" t="s">
        <v>371</v>
      </c>
      <c r="E503" t="s">
        <v>51</v>
      </c>
      <c r="F503" t="s">
        <v>52</v>
      </c>
      <c r="G503" t="s">
        <v>57</v>
      </c>
      <c r="H503" t="s">
        <v>20</v>
      </c>
      <c r="I503" t="s">
        <v>21</v>
      </c>
      <c r="J503" t="s">
        <v>22</v>
      </c>
      <c r="K503">
        <v>7</v>
      </c>
      <c r="L503" s="2">
        <v>36283.120000000003</v>
      </c>
      <c r="M503">
        <v>0.15</v>
      </c>
      <c r="N503">
        <v>7168.36</v>
      </c>
    </row>
    <row r="504" spans="1:14" x14ac:dyDescent="0.35">
      <c r="A504" t="s">
        <v>1007</v>
      </c>
      <c r="B504" s="1">
        <v>45843</v>
      </c>
      <c r="C504" t="s">
        <v>126</v>
      </c>
      <c r="D504" t="s">
        <v>161</v>
      </c>
      <c r="E504" t="s">
        <v>26</v>
      </c>
      <c r="F504" t="s">
        <v>121</v>
      </c>
      <c r="G504" t="s">
        <v>122</v>
      </c>
      <c r="H504" t="s">
        <v>38</v>
      </c>
      <c r="I504" t="s">
        <v>39</v>
      </c>
      <c r="J504" t="s">
        <v>40</v>
      </c>
      <c r="K504">
        <v>3</v>
      </c>
      <c r="L504" s="2">
        <v>1216.1600000000001</v>
      </c>
      <c r="M504">
        <v>0.15</v>
      </c>
      <c r="N504">
        <v>169.36</v>
      </c>
    </row>
    <row r="505" spans="1:14" x14ac:dyDescent="0.35">
      <c r="A505" t="s">
        <v>1008</v>
      </c>
      <c r="B505" s="1">
        <v>45843</v>
      </c>
      <c r="C505" t="s">
        <v>154</v>
      </c>
      <c r="D505" t="s">
        <v>127</v>
      </c>
      <c r="E505" t="s">
        <v>51</v>
      </c>
      <c r="F505" t="s">
        <v>92</v>
      </c>
      <c r="G505" t="s">
        <v>178</v>
      </c>
      <c r="H505" t="s">
        <v>29</v>
      </c>
      <c r="I505" t="s">
        <v>30</v>
      </c>
      <c r="J505" t="s">
        <v>31</v>
      </c>
      <c r="K505">
        <v>6</v>
      </c>
      <c r="L505" s="2">
        <v>107419.26</v>
      </c>
      <c r="M505">
        <v>0.05</v>
      </c>
      <c r="N505">
        <v>5985.41</v>
      </c>
    </row>
    <row r="506" spans="1:14" x14ac:dyDescent="0.35">
      <c r="A506" t="s">
        <v>1009</v>
      </c>
      <c r="B506" s="1">
        <v>45844</v>
      </c>
      <c r="C506" t="s">
        <v>871</v>
      </c>
      <c r="D506" t="s">
        <v>679</v>
      </c>
      <c r="E506" t="s">
        <v>35</v>
      </c>
      <c r="F506" t="s">
        <v>36</v>
      </c>
      <c r="G506" t="s">
        <v>255</v>
      </c>
      <c r="H506" t="s">
        <v>20</v>
      </c>
      <c r="I506" t="s">
        <v>65</v>
      </c>
      <c r="J506" t="s">
        <v>117</v>
      </c>
      <c r="K506">
        <v>6</v>
      </c>
      <c r="L506" s="2">
        <v>32843.43</v>
      </c>
      <c r="M506">
        <v>0.05</v>
      </c>
      <c r="N506">
        <v>3814.12</v>
      </c>
    </row>
    <row r="507" spans="1:14" x14ac:dyDescent="0.35">
      <c r="A507" t="s">
        <v>1010</v>
      </c>
      <c r="B507" s="1">
        <v>45844</v>
      </c>
      <c r="C507" t="s">
        <v>140</v>
      </c>
      <c r="D507" t="s">
        <v>425</v>
      </c>
      <c r="E507" t="s">
        <v>26</v>
      </c>
      <c r="F507" t="s">
        <v>27</v>
      </c>
      <c r="G507" t="s">
        <v>249</v>
      </c>
      <c r="H507" t="s">
        <v>38</v>
      </c>
      <c r="I507" t="s">
        <v>78</v>
      </c>
      <c r="J507" t="s">
        <v>174</v>
      </c>
      <c r="K507">
        <v>2</v>
      </c>
      <c r="L507" s="2">
        <v>764.39</v>
      </c>
      <c r="M507">
        <v>0.1</v>
      </c>
      <c r="N507">
        <v>167.85</v>
      </c>
    </row>
    <row r="508" spans="1:14" x14ac:dyDescent="0.35">
      <c r="A508" t="s">
        <v>1011</v>
      </c>
      <c r="B508" s="1">
        <v>45844</v>
      </c>
      <c r="C508" t="s">
        <v>1012</v>
      </c>
      <c r="D508" t="s">
        <v>145</v>
      </c>
      <c r="E508" t="s">
        <v>26</v>
      </c>
      <c r="F508" t="s">
        <v>86</v>
      </c>
      <c r="G508" t="s">
        <v>87</v>
      </c>
      <c r="H508" t="s">
        <v>38</v>
      </c>
      <c r="I508" t="s">
        <v>78</v>
      </c>
      <c r="J508" t="s">
        <v>174</v>
      </c>
      <c r="K508">
        <v>6</v>
      </c>
      <c r="L508" s="2">
        <v>2834.12</v>
      </c>
      <c r="M508">
        <v>0</v>
      </c>
      <c r="N508">
        <v>309.14</v>
      </c>
    </row>
    <row r="509" spans="1:14" x14ac:dyDescent="0.35">
      <c r="A509" t="s">
        <v>1013</v>
      </c>
      <c r="B509" s="1">
        <v>45844</v>
      </c>
      <c r="C509" t="s">
        <v>328</v>
      </c>
      <c r="D509" t="s">
        <v>109</v>
      </c>
      <c r="E509" t="s">
        <v>17</v>
      </c>
      <c r="F509" t="s">
        <v>185</v>
      </c>
      <c r="G509" t="s">
        <v>186</v>
      </c>
      <c r="H509" t="s">
        <v>20</v>
      </c>
      <c r="I509" t="s">
        <v>21</v>
      </c>
      <c r="J509" t="s">
        <v>22</v>
      </c>
      <c r="K509">
        <v>5</v>
      </c>
      <c r="L509" s="2">
        <v>31520.62</v>
      </c>
      <c r="M509">
        <v>0.1</v>
      </c>
      <c r="N509">
        <v>5618.27</v>
      </c>
    </row>
    <row r="510" spans="1:14" x14ac:dyDescent="0.35">
      <c r="A510" t="s">
        <v>1014</v>
      </c>
      <c r="B510" s="1">
        <v>45845</v>
      </c>
      <c r="C510" t="s">
        <v>233</v>
      </c>
      <c r="D510" t="s">
        <v>551</v>
      </c>
      <c r="E510" t="s">
        <v>35</v>
      </c>
      <c r="F510" t="s">
        <v>128</v>
      </c>
      <c r="G510" t="s">
        <v>129</v>
      </c>
      <c r="H510" t="s">
        <v>38</v>
      </c>
      <c r="I510" t="s">
        <v>218</v>
      </c>
      <c r="J510" t="s">
        <v>221</v>
      </c>
      <c r="K510">
        <v>2</v>
      </c>
      <c r="L510" s="2">
        <v>328.5</v>
      </c>
      <c r="M510">
        <v>0.1</v>
      </c>
      <c r="N510">
        <v>70.22</v>
      </c>
    </row>
    <row r="511" spans="1:14" x14ac:dyDescent="0.35">
      <c r="A511" t="s">
        <v>1015</v>
      </c>
      <c r="B511" s="1">
        <v>45845</v>
      </c>
      <c r="C511" t="s">
        <v>419</v>
      </c>
      <c r="D511" t="s">
        <v>188</v>
      </c>
      <c r="E511" t="s">
        <v>51</v>
      </c>
      <c r="F511" t="s">
        <v>104</v>
      </c>
      <c r="G511" t="s">
        <v>105</v>
      </c>
      <c r="H511" t="s">
        <v>29</v>
      </c>
      <c r="I511" t="s">
        <v>30</v>
      </c>
      <c r="J511" t="s">
        <v>31</v>
      </c>
      <c r="K511">
        <v>2</v>
      </c>
      <c r="L511" s="2">
        <v>33365.57</v>
      </c>
      <c r="M511">
        <v>0</v>
      </c>
      <c r="N511">
        <v>4232.54</v>
      </c>
    </row>
    <row r="512" spans="1:14" x14ac:dyDescent="0.35">
      <c r="A512" t="s">
        <v>1016</v>
      </c>
      <c r="B512" s="1">
        <v>45846</v>
      </c>
      <c r="C512" t="s">
        <v>33</v>
      </c>
      <c r="D512" t="s">
        <v>234</v>
      </c>
      <c r="E512" t="s">
        <v>51</v>
      </c>
      <c r="F512" t="s">
        <v>52</v>
      </c>
      <c r="G512" t="s">
        <v>53</v>
      </c>
      <c r="H512" t="s">
        <v>29</v>
      </c>
      <c r="I512" t="s">
        <v>94</v>
      </c>
      <c r="J512" t="s">
        <v>138</v>
      </c>
      <c r="K512">
        <v>6</v>
      </c>
      <c r="L512" s="2">
        <v>273189.05</v>
      </c>
      <c r="M512">
        <v>0.05</v>
      </c>
      <c r="N512">
        <v>23063.599999999999</v>
      </c>
    </row>
    <row r="513" spans="1:14" x14ac:dyDescent="0.35">
      <c r="A513" t="s">
        <v>1017</v>
      </c>
      <c r="B513" s="1">
        <v>45846</v>
      </c>
      <c r="C513" t="s">
        <v>888</v>
      </c>
      <c r="D513" t="s">
        <v>633</v>
      </c>
      <c r="E513" t="s">
        <v>26</v>
      </c>
      <c r="F513" t="s">
        <v>121</v>
      </c>
      <c r="G513" t="s">
        <v>214</v>
      </c>
      <c r="H513" t="s">
        <v>20</v>
      </c>
      <c r="I513" t="s">
        <v>46</v>
      </c>
      <c r="J513" t="s">
        <v>47</v>
      </c>
      <c r="K513">
        <v>7</v>
      </c>
      <c r="L513" s="2">
        <v>43787.43</v>
      </c>
      <c r="M513">
        <v>0.05</v>
      </c>
      <c r="N513">
        <v>8039.98</v>
      </c>
    </row>
    <row r="514" spans="1:14" x14ac:dyDescent="0.35">
      <c r="A514" t="s">
        <v>1018</v>
      </c>
      <c r="B514" s="1">
        <v>45847</v>
      </c>
      <c r="C514" t="s">
        <v>269</v>
      </c>
      <c r="D514" t="s">
        <v>266</v>
      </c>
      <c r="E514" t="s">
        <v>26</v>
      </c>
      <c r="F514" t="s">
        <v>44</v>
      </c>
      <c r="G514" t="s">
        <v>116</v>
      </c>
      <c r="H514" t="s">
        <v>38</v>
      </c>
      <c r="I514" t="s">
        <v>218</v>
      </c>
      <c r="J514" t="s">
        <v>221</v>
      </c>
      <c r="K514">
        <v>3</v>
      </c>
      <c r="L514" s="2">
        <v>529.61</v>
      </c>
      <c r="M514">
        <v>0</v>
      </c>
      <c r="N514">
        <v>108.18</v>
      </c>
    </row>
    <row r="515" spans="1:14" x14ac:dyDescent="0.35">
      <c r="A515" t="s">
        <v>1019</v>
      </c>
      <c r="B515" s="1">
        <v>45848</v>
      </c>
      <c r="C515" t="s">
        <v>140</v>
      </c>
      <c r="D515" t="s">
        <v>1020</v>
      </c>
      <c r="E515" t="s">
        <v>26</v>
      </c>
      <c r="F515" t="s">
        <v>121</v>
      </c>
      <c r="G515" t="s">
        <v>214</v>
      </c>
      <c r="H515" t="s">
        <v>29</v>
      </c>
      <c r="I515" t="s">
        <v>30</v>
      </c>
      <c r="J515" t="s">
        <v>182</v>
      </c>
      <c r="K515">
        <v>1</v>
      </c>
      <c r="L515" s="2">
        <v>38894.93</v>
      </c>
      <c r="M515">
        <v>0.1</v>
      </c>
      <c r="N515">
        <v>3218.6</v>
      </c>
    </row>
    <row r="516" spans="1:14" x14ac:dyDescent="0.35">
      <c r="A516" t="s">
        <v>1021</v>
      </c>
      <c r="B516" s="1">
        <v>45848</v>
      </c>
      <c r="C516" t="s">
        <v>124</v>
      </c>
      <c r="D516" t="s">
        <v>420</v>
      </c>
      <c r="E516" t="s">
        <v>35</v>
      </c>
      <c r="F516" t="s">
        <v>128</v>
      </c>
      <c r="G516" t="s">
        <v>354</v>
      </c>
      <c r="H516" t="s">
        <v>38</v>
      </c>
      <c r="I516" t="s">
        <v>39</v>
      </c>
      <c r="J516" t="s">
        <v>258</v>
      </c>
      <c r="K516">
        <v>5</v>
      </c>
      <c r="L516" s="2">
        <v>2849.78</v>
      </c>
      <c r="M516">
        <v>0.15</v>
      </c>
      <c r="N516">
        <v>434.38</v>
      </c>
    </row>
    <row r="517" spans="1:14" x14ac:dyDescent="0.35">
      <c r="A517" t="s">
        <v>1022</v>
      </c>
      <c r="B517" s="1">
        <v>45848</v>
      </c>
      <c r="C517" t="s">
        <v>470</v>
      </c>
      <c r="D517" t="s">
        <v>591</v>
      </c>
      <c r="E517" t="s">
        <v>17</v>
      </c>
      <c r="F517" t="s">
        <v>210</v>
      </c>
      <c r="G517" t="s">
        <v>211</v>
      </c>
      <c r="H517" t="s">
        <v>20</v>
      </c>
      <c r="I517" t="s">
        <v>46</v>
      </c>
      <c r="J517" t="s">
        <v>47</v>
      </c>
      <c r="K517">
        <v>6</v>
      </c>
      <c r="L517" s="2">
        <v>38346.42</v>
      </c>
      <c r="M517">
        <v>0.1</v>
      </c>
      <c r="N517">
        <v>5042.74</v>
      </c>
    </row>
    <row r="518" spans="1:14" x14ac:dyDescent="0.35">
      <c r="A518" t="s">
        <v>1023</v>
      </c>
      <c r="B518" s="1">
        <v>45848</v>
      </c>
      <c r="C518" t="s">
        <v>320</v>
      </c>
      <c r="D518" t="s">
        <v>375</v>
      </c>
      <c r="E518" t="s">
        <v>51</v>
      </c>
      <c r="F518" t="s">
        <v>104</v>
      </c>
      <c r="G518" t="s">
        <v>206</v>
      </c>
      <c r="H518" t="s">
        <v>29</v>
      </c>
      <c r="I518" t="s">
        <v>94</v>
      </c>
      <c r="J518" t="s">
        <v>106</v>
      </c>
      <c r="K518">
        <v>7</v>
      </c>
      <c r="L518" s="2">
        <v>490053.84</v>
      </c>
      <c r="M518">
        <v>0.1</v>
      </c>
      <c r="N518">
        <v>54032.67</v>
      </c>
    </row>
    <row r="519" spans="1:14" x14ac:dyDescent="0.35">
      <c r="A519" t="s">
        <v>1024</v>
      </c>
      <c r="B519" s="1">
        <v>45849</v>
      </c>
      <c r="C519" t="s">
        <v>629</v>
      </c>
      <c r="D519" t="s">
        <v>792</v>
      </c>
      <c r="E519" t="s">
        <v>35</v>
      </c>
      <c r="F519" t="s">
        <v>70</v>
      </c>
      <c r="G519" t="s">
        <v>297</v>
      </c>
      <c r="H519" t="s">
        <v>20</v>
      </c>
      <c r="I519" t="s">
        <v>21</v>
      </c>
      <c r="J519" t="s">
        <v>72</v>
      </c>
      <c r="K519">
        <v>5</v>
      </c>
      <c r="L519" s="2">
        <v>13251.3</v>
      </c>
      <c r="M519">
        <v>0.15</v>
      </c>
      <c r="N519">
        <v>481.4</v>
      </c>
    </row>
    <row r="520" spans="1:14" x14ac:dyDescent="0.35">
      <c r="A520" t="s">
        <v>1025</v>
      </c>
      <c r="B520" s="1">
        <v>45849</v>
      </c>
      <c r="C520" t="s">
        <v>1026</v>
      </c>
      <c r="D520" t="s">
        <v>433</v>
      </c>
      <c r="E520" t="s">
        <v>17</v>
      </c>
      <c r="F520" t="s">
        <v>185</v>
      </c>
      <c r="G520" t="s">
        <v>186</v>
      </c>
      <c r="H520" t="s">
        <v>38</v>
      </c>
      <c r="I520" t="s">
        <v>39</v>
      </c>
      <c r="J520" t="s">
        <v>40</v>
      </c>
      <c r="K520">
        <v>3</v>
      </c>
      <c r="L520" s="2">
        <v>1551.65</v>
      </c>
      <c r="M520">
        <v>0</v>
      </c>
      <c r="N520">
        <v>279.22000000000003</v>
      </c>
    </row>
    <row r="521" spans="1:14" x14ac:dyDescent="0.35">
      <c r="A521" t="s">
        <v>1027</v>
      </c>
      <c r="B521" s="1">
        <v>45849</v>
      </c>
      <c r="C521" t="s">
        <v>147</v>
      </c>
      <c r="D521" t="s">
        <v>517</v>
      </c>
      <c r="E521" t="s">
        <v>51</v>
      </c>
      <c r="F521" t="s">
        <v>63</v>
      </c>
      <c r="G521" t="s">
        <v>324</v>
      </c>
      <c r="H521" t="s">
        <v>20</v>
      </c>
      <c r="I521" t="s">
        <v>65</v>
      </c>
      <c r="J521" t="s">
        <v>66</v>
      </c>
      <c r="K521">
        <v>1</v>
      </c>
      <c r="L521" s="2">
        <v>8248.9500000000007</v>
      </c>
      <c r="M521">
        <v>0.1</v>
      </c>
      <c r="N521">
        <v>1747.75</v>
      </c>
    </row>
    <row r="522" spans="1:14" x14ac:dyDescent="0.35">
      <c r="A522" t="s">
        <v>1028</v>
      </c>
      <c r="B522" s="1">
        <v>45850</v>
      </c>
      <c r="C522" t="s">
        <v>49</v>
      </c>
      <c r="D522" t="s">
        <v>515</v>
      </c>
      <c r="E522" t="s">
        <v>26</v>
      </c>
      <c r="F522" t="s">
        <v>86</v>
      </c>
      <c r="G522" t="s">
        <v>87</v>
      </c>
      <c r="H522" t="s">
        <v>20</v>
      </c>
      <c r="I522" t="s">
        <v>46</v>
      </c>
      <c r="J522" t="s">
        <v>130</v>
      </c>
      <c r="K522">
        <v>1</v>
      </c>
      <c r="L522" s="2">
        <v>8186</v>
      </c>
      <c r="M522">
        <v>0</v>
      </c>
      <c r="N522">
        <v>1674.56</v>
      </c>
    </row>
    <row r="523" spans="1:14" x14ac:dyDescent="0.35">
      <c r="A523" t="s">
        <v>1029</v>
      </c>
      <c r="B523" s="1">
        <v>45852</v>
      </c>
      <c r="C523" t="s">
        <v>247</v>
      </c>
      <c r="D523" t="s">
        <v>770</v>
      </c>
      <c r="E523" t="s">
        <v>51</v>
      </c>
      <c r="F523" t="s">
        <v>92</v>
      </c>
      <c r="G523" t="s">
        <v>178</v>
      </c>
      <c r="H523" t="s">
        <v>38</v>
      </c>
      <c r="I523" t="s">
        <v>218</v>
      </c>
      <c r="J523" t="s">
        <v>225</v>
      </c>
      <c r="K523">
        <v>1</v>
      </c>
      <c r="L523" s="2">
        <v>224.89</v>
      </c>
      <c r="M523">
        <v>0.15</v>
      </c>
      <c r="N523">
        <v>25.24</v>
      </c>
    </row>
    <row r="524" spans="1:14" x14ac:dyDescent="0.35">
      <c r="A524" t="s">
        <v>1030</v>
      </c>
      <c r="B524" s="1">
        <v>45852</v>
      </c>
      <c r="C524" t="s">
        <v>242</v>
      </c>
      <c r="D524" t="s">
        <v>304</v>
      </c>
      <c r="E524" t="s">
        <v>17</v>
      </c>
      <c r="F524" t="s">
        <v>76</v>
      </c>
      <c r="G524" t="s">
        <v>77</v>
      </c>
      <c r="H524" t="s">
        <v>29</v>
      </c>
      <c r="I524" t="s">
        <v>30</v>
      </c>
      <c r="J524" t="s">
        <v>112</v>
      </c>
      <c r="K524">
        <v>2</v>
      </c>
      <c r="L524" s="2">
        <v>45694.29</v>
      </c>
      <c r="M524">
        <v>0.2</v>
      </c>
      <c r="N524">
        <v>3676.37</v>
      </c>
    </row>
    <row r="525" spans="1:14" x14ac:dyDescent="0.35">
      <c r="A525" t="s">
        <v>1031</v>
      </c>
      <c r="B525" s="1">
        <v>45853</v>
      </c>
      <c r="C525" t="s">
        <v>331</v>
      </c>
      <c r="D525" t="s">
        <v>361</v>
      </c>
      <c r="E525" t="s">
        <v>51</v>
      </c>
      <c r="F525" t="s">
        <v>63</v>
      </c>
      <c r="G525" t="s">
        <v>324</v>
      </c>
      <c r="H525" t="s">
        <v>29</v>
      </c>
      <c r="I525" t="s">
        <v>94</v>
      </c>
      <c r="J525" t="s">
        <v>138</v>
      </c>
      <c r="K525">
        <v>2</v>
      </c>
      <c r="L525" s="2">
        <v>78934.490000000005</v>
      </c>
      <c r="M525">
        <v>0.1</v>
      </c>
      <c r="N525">
        <v>6861.38</v>
      </c>
    </row>
    <row r="526" spans="1:14" x14ac:dyDescent="0.35">
      <c r="A526" t="s">
        <v>1032</v>
      </c>
      <c r="B526" s="1">
        <v>45853</v>
      </c>
      <c r="C526" t="s">
        <v>136</v>
      </c>
      <c r="D526" t="s">
        <v>1033</v>
      </c>
      <c r="E526" t="s">
        <v>26</v>
      </c>
      <c r="F526" t="s">
        <v>27</v>
      </c>
      <c r="G526" t="s">
        <v>28</v>
      </c>
      <c r="H526" t="s">
        <v>38</v>
      </c>
      <c r="I526" t="s">
        <v>39</v>
      </c>
      <c r="J526" t="s">
        <v>134</v>
      </c>
      <c r="K526">
        <v>6</v>
      </c>
      <c r="L526" s="2">
        <v>3816.73</v>
      </c>
      <c r="M526">
        <v>0.15</v>
      </c>
      <c r="N526">
        <v>343.99</v>
      </c>
    </row>
    <row r="527" spans="1:14" x14ac:dyDescent="0.35">
      <c r="A527" t="s">
        <v>1034</v>
      </c>
      <c r="B527" s="1">
        <v>45853</v>
      </c>
      <c r="C527" t="s">
        <v>697</v>
      </c>
      <c r="D527" t="s">
        <v>580</v>
      </c>
      <c r="E527" t="s">
        <v>17</v>
      </c>
      <c r="F527" t="s">
        <v>76</v>
      </c>
      <c r="G527" t="s">
        <v>77</v>
      </c>
      <c r="H527" t="s">
        <v>29</v>
      </c>
      <c r="I527" t="s">
        <v>58</v>
      </c>
      <c r="J527" t="s">
        <v>88</v>
      </c>
      <c r="K527">
        <v>1</v>
      </c>
      <c r="L527" s="2">
        <v>2031.31</v>
      </c>
      <c r="M527">
        <v>0.2</v>
      </c>
      <c r="N527">
        <v>70.599999999999994</v>
      </c>
    </row>
    <row r="528" spans="1:14" x14ac:dyDescent="0.35">
      <c r="A528" t="s">
        <v>1035</v>
      </c>
      <c r="B528" s="1">
        <v>45854</v>
      </c>
      <c r="C528" t="s">
        <v>999</v>
      </c>
      <c r="D528" t="s">
        <v>508</v>
      </c>
      <c r="E528" t="s">
        <v>26</v>
      </c>
      <c r="F528" t="s">
        <v>27</v>
      </c>
      <c r="G528" t="s">
        <v>267</v>
      </c>
      <c r="H528" t="s">
        <v>38</v>
      </c>
      <c r="I528" t="s">
        <v>218</v>
      </c>
      <c r="J528" t="s">
        <v>219</v>
      </c>
      <c r="K528">
        <v>1</v>
      </c>
      <c r="L528" s="2">
        <v>295.91000000000003</v>
      </c>
      <c r="M528">
        <v>0.05</v>
      </c>
      <c r="N528">
        <v>31.65</v>
      </c>
    </row>
    <row r="529" spans="1:14" x14ac:dyDescent="0.35">
      <c r="A529" t="s">
        <v>1036</v>
      </c>
      <c r="B529" s="1">
        <v>45854</v>
      </c>
      <c r="C529" t="s">
        <v>859</v>
      </c>
      <c r="D529" t="s">
        <v>380</v>
      </c>
      <c r="E529" t="s">
        <v>51</v>
      </c>
      <c r="F529" t="s">
        <v>99</v>
      </c>
      <c r="G529" t="s">
        <v>100</v>
      </c>
      <c r="H529" t="s">
        <v>29</v>
      </c>
      <c r="I529" t="s">
        <v>58</v>
      </c>
      <c r="J529" t="s">
        <v>88</v>
      </c>
      <c r="K529">
        <v>7</v>
      </c>
      <c r="L529" s="2">
        <v>17180.63</v>
      </c>
      <c r="M529">
        <v>0</v>
      </c>
      <c r="N529">
        <v>2187.27</v>
      </c>
    </row>
    <row r="530" spans="1:14" x14ac:dyDescent="0.35">
      <c r="A530" t="s">
        <v>1038</v>
      </c>
      <c r="B530" s="1">
        <v>45854</v>
      </c>
      <c r="C530" t="s">
        <v>262</v>
      </c>
      <c r="D530" t="s">
        <v>304</v>
      </c>
      <c r="E530" t="s">
        <v>35</v>
      </c>
      <c r="F530" t="s">
        <v>70</v>
      </c>
      <c r="G530" t="s">
        <v>71</v>
      </c>
      <c r="H530" t="s">
        <v>29</v>
      </c>
      <c r="I530" t="s">
        <v>58</v>
      </c>
      <c r="J530" t="s">
        <v>88</v>
      </c>
      <c r="K530">
        <v>1</v>
      </c>
      <c r="L530" s="2">
        <v>1987.97</v>
      </c>
      <c r="M530">
        <v>0.15</v>
      </c>
      <c r="N530">
        <v>79.569999999999993</v>
      </c>
    </row>
    <row r="531" spans="1:14" x14ac:dyDescent="0.35">
      <c r="A531" t="s">
        <v>1039</v>
      </c>
      <c r="B531" s="1">
        <v>45855</v>
      </c>
      <c r="C531" t="s">
        <v>892</v>
      </c>
      <c r="D531" t="s">
        <v>200</v>
      </c>
      <c r="E531" t="s">
        <v>26</v>
      </c>
      <c r="F531" t="s">
        <v>27</v>
      </c>
      <c r="G531" t="s">
        <v>28</v>
      </c>
      <c r="H531" t="s">
        <v>38</v>
      </c>
      <c r="I531" t="s">
        <v>218</v>
      </c>
      <c r="J531" t="s">
        <v>225</v>
      </c>
      <c r="K531">
        <v>1</v>
      </c>
      <c r="L531" s="2">
        <v>202.96</v>
      </c>
      <c r="M531">
        <v>0.2</v>
      </c>
      <c r="N531">
        <v>17.940000000000001</v>
      </c>
    </row>
    <row r="532" spans="1:14" x14ac:dyDescent="0.35">
      <c r="A532" t="s">
        <v>1040</v>
      </c>
      <c r="B532" s="1">
        <v>45855</v>
      </c>
      <c r="C532" t="s">
        <v>945</v>
      </c>
      <c r="D532" t="s">
        <v>1041</v>
      </c>
      <c r="E532" t="s">
        <v>26</v>
      </c>
      <c r="F532" t="s">
        <v>86</v>
      </c>
      <c r="G532" t="s">
        <v>87</v>
      </c>
      <c r="H532" t="s">
        <v>29</v>
      </c>
      <c r="I532" t="s">
        <v>30</v>
      </c>
      <c r="J532" t="s">
        <v>31</v>
      </c>
      <c r="K532">
        <v>3</v>
      </c>
      <c r="L532" s="2">
        <v>48840.55</v>
      </c>
      <c r="M532">
        <v>0.1</v>
      </c>
      <c r="N532">
        <v>5890.22</v>
      </c>
    </row>
    <row r="533" spans="1:14" x14ac:dyDescent="0.35">
      <c r="A533" t="s">
        <v>1042</v>
      </c>
      <c r="B533" s="1">
        <v>45856</v>
      </c>
      <c r="C533" t="s">
        <v>1043</v>
      </c>
      <c r="D533" t="s">
        <v>687</v>
      </c>
      <c r="E533" t="s">
        <v>26</v>
      </c>
      <c r="F533" t="s">
        <v>121</v>
      </c>
      <c r="G533" t="s">
        <v>214</v>
      </c>
      <c r="H533" t="s">
        <v>20</v>
      </c>
      <c r="I533" t="s">
        <v>65</v>
      </c>
      <c r="J533" t="s">
        <v>66</v>
      </c>
      <c r="K533">
        <v>5</v>
      </c>
      <c r="L533" s="2">
        <v>40392.550000000003</v>
      </c>
      <c r="M533">
        <v>0.1</v>
      </c>
      <c r="N533">
        <v>6462.42</v>
      </c>
    </row>
    <row r="534" spans="1:14" x14ac:dyDescent="0.35">
      <c r="A534" t="s">
        <v>1044</v>
      </c>
      <c r="B534" s="1">
        <v>45856</v>
      </c>
      <c r="C534" t="s">
        <v>276</v>
      </c>
      <c r="D534" t="s">
        <v>228</v>
      </c>
      <c r="E534" t="s">
        <v>51</v>
      </c>
      <c r="F534" t="s">
        <v>104</v>
      </c>
      <c r="G534" t="s">
        <v>105</v>
      </c>
      <c r="H534" t="s">
        <v>29</v>
      </c>
      <c r="I534" t="s">
        <v>58</v>
      </c>
      <c r="J534" t="s">
        <v>300</v>
      </c>
      <c r="K534">
        <v>3</v>
      </c>
      <c r="L534" s="2">
        <v>4089.68</v>
      </c>
      <c r="M534">
        <v>0.15</v>
      </c>
      <c r="N534">
        <v>674.87</v>
      </c>
    </row>
    <row r="535" spans="1:14" x14ac:dyDescent="0.35">
      <c r="A535" t="s">
        <v>1045</v>
      </c>
      <c r="B535" s="1">
        <v>45858</v>
      </c>
      <c r="C535" t="s">
        <v>55</v>
      </c>
      <c r="D535" t="s">
        <v>200</v>
      </c>
      <c r="E535" t="s">
        <v>17</v>
      </c>
      <c r="F535" t="s">
        <v>185</v>
      </c>
      <c r="G535" t="s">
        <v>528</v>
      </c>
      <c r="H535" t="s">
        <v>20</v>
      </c>
      <c r="I535" t="s">
        <v>46</v>
      </c>
      <c r="J535" t="s">
        <v>130</v>
      </c>
      <c r="K535">
        <v>2</v>
      </c>
      <c r="L535" s="2">
        <v>15096.89</v>
      </c>
      <c r="M535">
        <v>0.05</v>
      </c>
      <c r="N535">
        <v>1999.16</v>
      </c>
    </row>
    <row r="536" spans="1:14" x14ac:dyDescent="0.35">
      <c r="A536" t="s">
        <v>1046</v>
      </c>
      <c r="B536" s="1">
        <v>45858</v>
      </c>
      <c r="C536" t="s">
        <v>972</v>
      </c>
      <c r="D536" t="s">
        <v>906</v>
      </c>
      <c r="E536" t="s">
        <v>35</v>
      </c>
      <c r="F536" t="s">
        <v>110</v>
      </c>
      <c r="G536" t="s">
        <v>111</v>
      </c>
      <c r="H536" t="s">
        <v>38</v>
      </c>
      <c r="I536" t="s">
        <v>218</v>
      </c>
      <c r="J536" t="s">
        <v>221</v>
      </c>
      <c r="K536">
        <v>4</v>
      </c>
      <c r="L536" s="2">
        <v>705.76</v>
      </c>
      <c r="M536">
        <v>0</v>
      </c>
      <c r="N536">
        <v>114.85</v>
      </c>
    </row>
    <row r="537" spans="1:14" x14ac:dyDescent="0.35">
      <c r="A537" t="s">
        <v>1047</v>
      </c>
      <c r="B537" s="1">
        <v>45858</v>
      </c>
      <c r="C537" t="s">
        <v>233</v>
      </c>
      <c r="D537" t="s">
        <v>670</v>
      </c>
      <c r="E537" t="s">
        <v>35</v>
      </c>
      <c r="F537" t="s">
        <v>70</v>
      </c>
      <c r="G537" t="s">
        <v>297</v>
      </c>
      <c r="H537" t="s">
        <v>38</v>
      </c>
      <c r="I537" t="s">
        <v>218</v>
      </c>
      <c r="J537" t="s">
        <v>225</v>
      </c>
      <c r="K537">
        <v>6</v>
      </c>
      <c r="L537" s="2">
        <v>1497.15</v>
      </c>
      <c r="M537">
        <v>0.05</v>
      </c>
      <c r="N537">
        <v>290</v>
      </c>
    </row>
    <row r="538" spans="1:14" x14ac:dyDescent="0.35">
      <c r="A538" t="s">
        <v>1048</v>
      </c>
      <c r="B538" s="1">
        <v>45858</v>
      </c>
      <c r="C538" t="s">
        <v>647</v>
      </c>
      <c r="D538" t="s">
        <v>436</v>
      </c>
      <c r="E538" t="s">
        <v>51</v>
      </c>
      <c r="F538" t="s">
        <v>52</v>
      </c>
      <c r="G538" t="s">
        <v>57</v>
      </c>
      <c r="H538" t="s">
        <v>38</v>
      </c>
      <c r="I538" t="s">
        <v>39</v>
      </c>
      <c r="J538" t="s">
        <v>258</v>
      </c>
      <c r="K538">
        <v>3</v>
      </c>
      <c r="L538" s="2">
        <v>1932.8</v>
      </c>
      <c r="M538">
        <v>0.05</v>
      </c>
      <c r="N538">
        <v>133.72999999999999</v>
      </c>
    </row>
    <row r="539" spans="1:14" x14ac:dyDescent="0.35">
      <c r="A539" t="s">
        <v>1049</v>
      </c>
      <c r="B539" s="1">
        <v>45858</v>
      </c>
      <c r="C539" t="s">
        <v>216</v>
      </c>
      <c r="D539" t="s">
        <v>450</v>
      </c>
      <c r="E539" t="s">
        <v>26</v>
      </c>
      <c r="F539" t="s">
        <v>121</v>
      </c>
      <c r="G539" t="s">
        <v>214</v>
      </c>
      <c r="H539" t="s">
        <v>20</v>
      </c>
      <c r="I539" t="s">
        <v>65</v>
      </c>
      <c r="J539" t="s">
        <v>142</v>
      </c>
      <c r="K539">
        <v>2</v>
      </c>
      <c r="L539" s="2">
        <v>40972.04</v>
      </c>
      <c r="M539">
        <v>0</v>
      </c>
      <c r="N539">
        <v>7178.53</v>
      </c>
    </row>
    <row r="540" spans="1:14" x14ac:dyDescent="0.35">
      <c r="A540" t="s">
        <v>1050</v>
      </c>
      <c r="B540" s="1">
        <v>45859</v>
      </c>
      <c r="C540" t="s">
        <v>797</v>
      </c>
      <c r="D540" t="s">
        <v>689</v>
      </c>
      <c r="E540" t="s">
        <v>51</v>
      </c>
      <c r="F540" t="s">
        <v>52</v>
      </c>
      <c r="G540" t="s">
        <v>53</v>
      </c>
      <c r="H540" t="s">
        <v>20</v>
      </c>
      <c r="I540" t="s">
        <v>21</v>
      </c>
      <c r="J540" t="s">
        <v>72</v>
      </c>
      <c r="K540">
        <v>4</v>
      </c>
      <c r="L540" s="2">
        <v>10684.92</v>
      </c>
      <c r="M540">
        <v>0.05</v>
      </c>
      <c r="N540">
        <v>668.19</v>
      </c>
    </row>
    <row r="541" spans="1:14" x14ac:dyDescent="0.35">
      <c r="A541" t="s">
        <v>1051</v>
      </c>
      <c r="B541" s="1">
        <v>45859</v>
      </c>
      <c r="C541" t="s">
        <v>220</v>
      </c>
      <c r="D541" t="s">
        <v>717</v>
      </c>
      <c r="E541" t="s">
        <v>35</v>
      </c>
      <c r="F541" t="s">
        <v>110</v>
      </c>
      <c r="G541" t="s">
        <v>111</v>
      </c>
      <c r="H541" t="s">
        <v>29</v>
      </c>
      <c r="I541" t="s">
        <v>30</v>
      </c>
      <c r="J541" t="s">
        <v>112</v>
      </c>
      <c r="K541">
        <v>7</v>
      </c>
      <c r="L541" s="2">
        <v>189720.1</v>
      </c>
      <c r="M541">
        <v>0.05</v>
      </c>
      <c r="N541">
        <v>33474.92</v>
      </c>
    </row>
    <row r="542" spans="1:14" x14ac:dyDescent="0.35">
      <c r="A542" t="s">
        <v>1052</v>
      </c>
      <c r="B542" s="1">
        <v>45862</v>
      </c>
      <c r="C542" t="s">
        <v>331</v>
      </c>
      <c r="D542" t="s">
        <v>683</v>
      </c>
      <c r="E542" t="s">
        <v>51</v>
      </c>
      <c r="F542" t="s">
        <v>52</v>
      </c>
      <c r="G542" t="s">
        <v>53</v>
      </c>
      <c r="H542" t="s">
        <v>29</v>
      </c>
      <c r="I542" t="s">
        <v>58</v>
      </c>
      <c r="J542" t="s">
        <v>59</v>
      </c>
      <c r="K542">
        <v>5</v>
      </c>
      <c r="L542" s="2">
        <v>4549.92</v>
      </c>
      <c r="M542">
        <v>0</v>
      </c>
      <c r="N542">
        <v>586.44000000000005</v>
      </c>
    </row>
    <row r="543" spans="1:14" x14ac:dyDescent="0.35">
      <c r="A543" t="s">
        <v>1053</v>
      </c>
      <c r="B543" s="1">
        <v>45862</v>
      </c>
      <c r="C543" t="s">
        <v>150</v>
      </c>
      <c r="D543" t="s">
        <v>461</v>
      </c>
      <c r="E543" t="s">
        <v>26</v>
      </c>
      <c r="F543" t="s">
        <v>27</v>
      </c>
      <c r="G543" t="s">
        <v>28</v>
      </c>
      <c r="H543" t="s">
        <v>29</v>
      </c>
      <c r="I543" t="s">
        <v>94</v>
      </c>
      <c r="J543" t="s">
        <v>106</v>
      </c>
      <c r="K543">
        <v>4</v>
      </c>
      <c r="L543" s="2">
        <v>284347.75</v>
      </c>
      <c r="M543">
        <v>0.1</v>
      </c>
      <c r="N543">
        <v>14163.97</v>
      </c>
    </row>
    <row r="544" spans="1:14" x14ac:dyDescent="0.35">
      <c r="A544" t="s">
        <v>1054</v>
      </c>
      <c r="B544" s="1">
        <v>45863</v>
      </c>
      <c r="C544" t="s">
        <v>97</v>
      </c>
      <c r="D544" t="s">
        <v>792</v>
      </c>
      <c r="E544" t="s">
        <v>26</v>
      </c>
      <c r="F544" t="s">
        <v>44</v>
      </c>
      <c r="G544" t="s">
        <v>45</v>
      </c>
      <c r="H544" t="s">
        <v>29</v>
      </c>
      <c r="I544" t="s">
        <v>30</v>
      </c>
      <c r="J544" t="s">
        <v>31</v>
      </c>
      <c r="K544">
        <v>3</v>
      </c>
      <c r="L544" s="2">
        <v>49389.66</v>
      </c>
      <c r="M544">
        <v>0.05</v>
      </c>
      <c r="N544">
        <v>6216.78</v>
      </c>
    </row>
    <row r="545" spans="1:14" x14ac:dyDescent="0.35">
      <c r="A545" t="s">
        <v>1055</v>
      </c>
      <c r="B545" s="1">
        <v>45863</v>
      </c>
      <c r="C545" t="s">
        <v>317</v>
      </c>
      <c r="D545" t="s">
        <v>644</v>
      </c>
      <c r="E545" t="s">
        <v>26</v>
      </c>
      <c r="F545" t="s">
        <v>44</v>
      </c>
      <c r="G545" t="s">
        <v>45</v>
      </c>
      <c r="H545" t="s">
        <v>38</v>
      </c>
      <c r="I545" t="s">
        <v>39</v>
      </c>
      <c r="J545" t="s">
        <v>134</v>
      </c>
      <c r="K545">
        <v>1</v>
      </c>
      <c r="L545" s="2">
        <v>798.7</v>
      </c>
      <c r="M545">
        <v>0</v>
      </c>
      <c r="N545">
        <v>168.48</v>
      </c>
    </row>
    <row r="546" spans="1:14" x14ac:dyDescent="0.35">
      <c r="A546" t="s">
        <v>1056</v>
      </c>
      <c r="B546" s="1">
        <v>45863</v>
      </c>
      <c r="C546" t="s">
        <v>521</v>
      </c>
      <c r="D546" t="s">
        <v>860</v>
      </c>
      <c r="E546" t="s">
        <v>35</v>
      </c>
      <c r="F546" t="s">
        <v>110</v>
      </c>
      <c r="G546" t="s">
        <v>111</v>
      </c>
      <c r="H546" t="s">
        <v>38</v>
      </c>
      <c r="I546" t="s">
        <v>78</v>
      </c>
      <c r="J546" t="s">
        <v>307</v>
      </c>
      <c r="K546">
        <v>6</v>
      </c>
      <c r="L546" s="2">
        <v>3241.65</v>
      </c>
      <c r="M546">
        <v>0.05</v>
      </c>
      <c r="N546">
        <v>638.66999999999996</v>
      </c>
    </row>
    <row r="547" spans="1:14" x14ac:dyDescent="0.35">
      <c r="A547" t="s">
        <v>1057</v>
      </c>
      <c r="B547" s="1">
        <v>45863</v>
      </c>
      <c r="C547" t="s">
        <v>1058</v>
      </c>
      <c r="D547" t="s">
        <v>901</v>
      </c>
      <c r="E547" t="s">
        <v>17</v>
      </c>
      <c r="F547" t="s">
        <v>18</v>
      </c>
      <c r="G547" t="s">
        <v>19</v>
      </c>
      <c r="H547" t="s">
        <v>20</v>
      </c>
      <c r="I547" t="s">
        <v>65</v>
      </c>
      <c r="J547" t="s">
        <v>142</v>
      </c>
      <c r="K547">
        <v>4</v>
      </c>
      <c r="L547" s="2">
        <v>88803.43</v>
      </c>
      <c r="M547">
        <v>0.05</v>
      </c>
      <c r="N547">
        <v>7007.84</v>
      </c>
    </row>
    <row r="548" spans="1:14" x14ac:dyDescent="0.35">
      <c r="A548" t="s">
        <v>1059</v>
      </c>
      <c r="B548" s="1">
        <v>45863</v>
      </c>
      <c r="C548" t="s">
        <v>356</v>
      </c>
      <c r="D548" t="s">
        <v>224</v>
      </c>
      <c r="E548" t="s">
        <v>35</v>
      </c>
      <c r="F548" t="s">
        <v>70</v>
      </c>
      <c r="G548" t="s">
        <v>297</v>
      </c>
      <c r="H548" t="s">
        <v>38</v>
      </c>
      <c r="I548" t="s">
        <v>78</v>
      </c>
      <c r="J548" t="s">
        <v>307</v>
      </c>
      <c r="K548">
        <v>3</v>
      </c>
      <c r="L548" s="2">
        <v>1498.24</v>
      </c>
      <c r="M548">
        <v>0.15</v>
      </c>
      <c r="N548">
        <v>175.39</v>
      </c>
    </row>
    <row r="549" spans="1:14" x14ac:dyDescent="0.35">
      <c r="A549" t="s">
        <v>1060</v>
      </c>
      <c r="B549" s="1">
        <v>45864</v>
      </c>
      <c r="C549" t="s">
        <v>589</v>
      </c>
      <c r="D549" t="s">
        <v>1061</v>
      </c>
      <c r="E549" t="s">
        <v>17</v>
      </c>
      <c r="F549" t="s">
        <v>18</v>
      </c>
      <c r="G549" t="s">
        <v>19</v>
      </c>
      <c r="H549" t="s">
        <v>29</v>
      </c>
      <c r="I549" t="s">
        <v>58</v>
      </c>
      <c r="J549" t="s">
        <v>300</v>
      </c>
      <c r="K549">
        <v>1</v>
      </c>
      <c r="L549" s="2">
        <v>1502.34</v>
      </c>
      <c r="M549">
        <v>0</v>
      </c>
      <c r="N549">
        <v>248.41</v>
      </c>
    </row>
    <row r="550" spans="1:14" x14ac:dyDescent="0.35">
      <c r="A550" t="s">
        <v>1062</v>
      </c>
      <c r="B550" s="1">
        <v>45864</v>
      </c>
      <c r="C550" t="s">
        <v>766</v>
      </c>
      <c r="D550" t="s">
        <v>580</v>
      </c>
      <c r="E550" t="s">
        <v>26</v>
      </c>
      <c r="F550" t="s">
        <v>44</v>
      </c>
      <c r="G550" t="s">
        <v>116</v>
      </c>
      <c r="H550" t="s">
        <v>20</v>
      </c>
      <c r="I550" t="s">
        <v>21</v>
      </c>
      <c r="J550" t="s">
        <v>197</v>
      </c>
      <c r="K550">
        <v>7</v>
      </c>
      <c r="L550" s="2">
        <v>83880.33</v>
      </c>
      <c r="M550">
        <v>0</v>
      </c>
      <c r="N550">
        <v>19030.759999999998</v>
      </c>
    </row>
    <row r="551" spans="1:14" x14ac:dyDescent="0.35">
      <c r="A551" t="s">
        <v>1063</v>
      </c>
      <c r="B551" s="1">
        <v>45864</v>
      </c>
      <c r="C551" t="s">
        <v>1064</v>
      </c>
      <c r="D551" t="s">
        <v>896</v>
      </c>
      <c r="E551" t="s">
        <v>35</v>
      </c>
      <c r="F551" t="s">
        <v>110</v>
      </c>
      <c r="G551" t="s">
        <v>111</v>
      </c>
      <c r="H551" t="s">
        <v>20</v>
      </c>
      <c r="I551" t="s">
        <v>21</v>
      </c>
      <c r="J551" t="s">
        <v>197</v>
      </c>
      <c r="K551">
        <v>6</v>
      </c>
      <c r="L551" s="2">
        <v>73097.89</v>
      </c>
      <c r="M551">
        <v>0</v>
      </c>
      <c r="N551">
        <v>7867.84</v>
      </c>
    </row>
    <row r="552" spans="1:14" x14ac:dyDescent="0.35">
      <c r="A552" t="s">
        <v>1065</v>
      </c>
      <c r="B552" s="1">
        <v>45864</v>
      </c>
      <c r="C552" t="s">
        <v>789</v>
      </c>
      <c r="D552" t="s">
        <v>551</v>
      </c>
      <c r="E552" t="s">
        <v>51</v>
      </c>
      <c r="F552" t="s">
        <v>92</v>
      </c>
      <c r="G552" t="s">
        <v>93</v>
      </c>
      <c r="H552" t="s">
        <v>29</v>
      </c>
      <c r="I552" t="s">
        <v>94</v>
      </c>
      <c r="J552" t="s">
        <v>138</v>
      </c>
      <c r="K552">
        <v>3</v>
      </c>
      <c r="L552" s="2">
        <v>132922.53</v>
      </c>
      <c r="M552">
        <v>0.05</v>
      </c>
      <c r="N552">
        <v>22658.81</v>
      </c>
    </row>
    <row r="553" spans="1:14" x14ac:dyDescent="0.35">
      <c r="A553" t="s">
        <v>1066</v>
      </c>
      <c r="B553" s="1">
        <v>45865</v>
      </c>
      <c r="C553" t="s">
        <v>1067</v>
      </c>
      <c r="D553" t="s">
        <v>578</v>
      </c>
      <c r="E553" t="s">
        <v>51</v>
      </c>
      <c r="F553" t="s">
        <v>104</v>
      </c>
      <c r="G553" t="s">
        <v>206</v>
      </c>
      <c r="H553" t="s">
        <v>20</v>
      </c>
      <c r="I553" t="s">
        <v>21</v>
      </c>
      <c r="J553" t="s">
        <v>197</v>
      </c>
      <c r="K553">
        <v>1</v>
      </c>
      <c r="L553" s="2">
        <v>10499.85</v>
      </c>
      <c r="M553">
        <v>0.05</v>
      </c>
      <c r="N553">
        <v>732.48</v>
      </c>
    </row>
    <row r="554" spans="1:14" x14ac:dyDescent="0.35">
      <c r="A554" t="s">
        <v>1068</v>
      </c>
      <c r="B554" s="1">
        <v>45867</v>
      </c>
      <c r="C554" t="s">
        <v>489</v>
      </c>
      <c r="D554" t="s">
        <v>598</v>
      </c>
      <c r="E554" t="s">
        <v>26</v>
      </c>
      <c r="F554" t="s">
        <v>121</v>
      </c>
      <c r="G554" t="s">
        <v>122</v>
      </c>
      <c r="H554" t="s">
        <v>29</v>
      </c>
      <c r="I554" t="s">
        <v>58</v>
      </c>
      <c r="J554" t="s">
        <v>300</v>
      </c>
      <c r="K554">
        <v>2</v>
      </c>
      <c r="L554" s="2">
        <v>2842.42</v>
      </c>
      <c r="M554">
        <v>0</v>
      </c>
      <c r="N554">
        <v>505.03</v>
      </c>
    </row>
    <row r="555" spans="1:14" x14ac:dyDescent="0.35">
      <c r="A555" t="s">
        <v>1069</v>
      </c>
      <c r="B555" s="1">
        <v>45867</v>
      </c>
      <c r="C555" t="s">
        <v>389</v>
      </c>
      <c r="D555" t="s">
        <v>446</v>
      </c>
      <c r="E555" t="s">
        <v>51</v>
      </c>
      <c r="F555" t="s">
        <v>63</v>
      </c>
      <c r="G555" t="s">
        <v>64</v>
      </c>
      <c r="H555" t="s">
        <v>38</v>
      </c>
      <c r="I555" t="s">
        <v>78</v>
      </c>
      <c r="J555" t="s">
        <v>79</v>
      </c>
      <c r="K555">
        <v>4</v>
      </c>
      <c r="L555" s="2">
        <v>1471.79</v>
      </c>
      <c r="M555">
        <v>0</v>
      </c>
      <c r="N555">
        <v>307.22000000000003</v>
      </c>
    </row>
    <row r="556" spans="1:14" x14ac:dyDescent="0.35">
      <c r="A556" t="s">
        <v>1070</v>
      </c>
      <c r="B556" s="1">
        <v>45867</v>
      </c>
      <c r="C556" t="s">
        <v>1071</v>
      </c>
      <c r="D556" t="s">
        <v>739</v>
      </c>
      <c r="E556" t="s">
        <v>51</v>
      </c>
      <c r="F556" t="s">
        <v>92</v>
      </c>
      <c r="G556" t="s">
        <v>178</v>
      </c>
      <c r="H556" t="s">
        <v>38</v>
      </c>
      <c r="I556" t="s">
        <v>78</v>
      </c>
      <c r="J556" t="s">
        <v>79</v>
      </c>
      <c r="K556">
        <v>2</v>
      </c>
      <c r="L556" s="2">
        <v>617.96</v>
      </c>
      <c r="M556">
        <v>0.05</v>
      </c>
      <c r="N556">
        <v>39.21</v>
      </c>
    </row>
    <row r="557" spans="1:14" x14ac:dyDescent="0.35">
      <c r="A557" t="s">
        <v>1072</v>
      </c>
      <c r="B557" s="1">
        <v>45867</v>
      </c>
      <c r="C557" t="s">
        <v>545</v>
      </c>
      <c r="D557" t="s">
        <v>417</v>
      </c>
      <c r="E557" t="s">
        <v>51</v>
      </c>
      <c r="F557" t="s">
        <v>52</v>
      </c>
      <c r="G557" t="s">
        <v>53</v>
      </c>
      <c r="H557" t="s">
        <v>38</v>
      </c>
      <c r="I557" t="s">
        <v>218</v>
      </c>
      <c r="J557" t="s">
        <v>221</v>
      </c>
      <c r="K557">
        <v>7</v>
      </c>
      <c r="L557" s="2">
        <v>1078.81</v>
      </c>
      <c r="M557">
        <v>0.1</v>
      </c>
      <c r="N557">
        <v>217.33</v>
      </c>
    </row>
    <row r="558" spans="1:14" x14ac:dyDescent="0.35">
      <c r="A558" t="s">
        <v>1073</v>
      </c>
      <c r="B558" s="1">
        <v>45867</v>
      </c>
      <c r="C558" t="s">
        <v>704</v>
      </c>
      <c r="D558" t="s">
        <v>551</v>
      </c>
      <c r="E558" t="s">
        <v>26</v>
      </c>
      <c r="F558" t="s">
        <v>27</v>
      </c>
      <c r="G558" t="s">
        <v>28</v>
      </c>
      <c r="H558" t="s">
        <v>38</v>
      </c>
      <c r="I558" t="s">
        <v>218</v>
      </c>
      <c r="J558" t="s">
        <v>225</v>
      </c>
      <c r="K558">
        <v>4</v>
      </c>
      <c r="L558" s="2">
        <v>873.59</v>
      </c>
      <c r="M558">
        <v>0.15</v>
      </c>
      <c r="N558">
        <v>122.84</v>
      </c>
    </row>
    <row r="559" spans="1:14" x14ac:dyDescent="0.35">
      <c r="A559" t="s">
        <v>1074</v>
      </c>
      <c r="B559" s="1">
        <v>45867</v>
      </c>
      <c r="C559" t="s">
        <v>170</v>
      </c>
      <c r="D559" t="s">
        <v>1061</v>
      </c>
      <c r="E559" t="s">
        <v>17</v>
      </c>
      <c r="F559" t="s">
        <v>210</v>
      </c>
      <c r="G559" t="s">
        <v>211</v>
      </c>
      <c r="H559" t="s">
        <v>29</v>
      </c>
      <c r="I559" t="s">
        <v>58</v>
      </c>
      <c r="J559" t="s">
        <v>88</v>
      </c>
      <c r="K559">
        <v>4</v>
      </c>
      <c r="L559" s="2">
        <v>9437.73</v>
      </c>
      <c r="M559">
        <v>0.1</v>
      </c>
      <c r="N559">
        <v>1292.1400000000001</v>
      </c>
    </row>
    <row r="560" spans="1:14" x14ac:dyDescent="0.35">
      <c r="A560" t="s">
        <v>1075</v>
      </c>
      <c r="B560" s="1">
        <v>45868</v>
      </c>
      <c r="C560" t="s">
        <v>84</v>
      </c>
      <c r="D560" t="s">
        <v>422</v>
      </c>
      <c r="E560" t="s">
        <v>17</v>
      </c>
      <c r="F560" t="s">
        <v>210</v>
      </c>
      <c r="G560" t="s">
        <v>211</v>
      </c>
      <c r="H560" t="s">
        <v>29</v>
      </c>
      <c r="I560" t="s">
        <v>94</v>
      </c>
      <c r="J560" t="s">
        <v>95</v>
      </c>
      <c r="K560">
        <v>2</v>
      </c>
      <c r="L560" s="2">
        <v>101541.38</v>
      </c>
      <c r="M560">
        <v>0.2</v>
      </c>
      <c r="N560">
        <v>7021.31</v>
      </c>
    </row>
    <row r="561" spans="1:14" x14ac:dyDescent="0.35">
      <c r="A561" t="s">
        <v>1076</v>
      </c>
      <c r="B561" s="1">
        <v>45868</v>
      </c>
      <c r="C561" t="s">
        <v>1077</v>
      </c>
      <c r="D561" t="s">
        <v>1078</v>
      </c>
      <c r="E561" t="s">
        <v>51</v>
      </c>
      <c r="F561" t="s">
        <v>52</v>
      </c>
      <c r="G561" t="s">
        <v>53</v>
      </c>
      <c r="H561" t="s">
        <v>38</v>
      </c>
      <c r="I561" t="s">
        <v>39</v>
      </c>
      <c r="J561" t="s">
        <v>40</v>
      </c>
      <c r="K561">
        <v>7</v>
      </c>
      <c r="L561" s="2">
        <v>3044.02</v>
      </c>
      <c r="M561">
        <v>0.1</v>
      </c>
      <c r="N561">
        <v>168.9</v>
      </c>
    </row>
    <row r="562" spans="1:14" x14ac:dyDescent="0.35">
      <c r="A562" t="s">
        <v>1079</v>
      </c>
      <c r="B562" s="1">
        <v>45868</v>
      </c>
      <c r="C562" t="s">
        <v>387</v>
      </c>
      <c r="D562" t="s">
        <v>304</v>
      </c>
      <c r="E562" t="s">
        <v>51</v>
      </c>
      <c r="F562" t="s">
        <v>99</v>
      </c>
      <c r="G562" t="s">
        <v>100</v>
      </c>
      <c r="H562" t="s">
        <v>29</v>
      </c>
      <c r="I562" t="s">
        <v>30</v>
      </c>
      <c r="J562" t="s">
        <v>182</v>
      </c>
      <c r="K562">
        <v>4</v>
      </c>
      <c r="L562" s="2">
        <v>167107.95000000001</v>
      </c>
      <c r="M562">
        <v>0.05</v>
      </c>
      <c r="N562">
        <v>25695.86</v>
      </c>
    </row>
    <row r="563" spans="1:14" x14ac:dyDescent="0.35">
      <c r="A563" t="s">
        <v>1080</v>
      </c>
      <c r="B563" s="1">
        <v>45868</v>
      </c>
      <c r="C563" t="s">
        <v>747</v>
      </c>
      <c r="D563" t="s">
        <v>254</v>
      </c>
      <c r="E563" t="s">
        <v>35</v>
      </c>
      <c r="F563" t="s">
        <v>128</v>
      </c>
      <c r="G563" t="s">
        <v>354</v>
      </c>
      <c r="H563" t="s">
        <v>29</v>
      </c>
      <c r="I563" t="s">
        <v>30</v>
      </c>
      <c r="J563" t="s">
        <v>112</v>
      </c>
      <c r="K563">
        <v>5</v>
      </c>
      <c r="L563" s="2">
        <v>125850.19</v>
      </c>
      <c r="M563">
        <v>0.1</v>
      </c>
      <c r="N563">
        <v>15979.52</v>
      </c>
    </row>
    <row r="564" spans="1:14" x14ac:dyDescent="0.35">
      <c r="A564" t="s">
        <v>1081</v>
      </c>
      <c r="B564" s="1">
        <v>45868</v>
      </c>
      <c r="C564" t="s">
        <v>666</v>
      </c>
      <c r="D564" t="s">
        <v>75</v>
      </c>
      <c r="E564" t="s">
        <v>35</v>
      </c>
      <c r="F564" t="s">
        <v>110</v>
      </c>
      <c r="G564" t="s">
        <v>111</v>
      </c>
      <c r="H564" t="s">
        <v>20</v>
      </c>
      <c r="I564" t="s">
        <v>21</v>
      </c>
      <c r="J564" t="s">
        <v>22</v>
      </c>
      <c r="K564">
        <v>6</v>
      </c>
      <c r="L564" s="2">
        <v>33245.51</v>
      </c>
      <c r="M564">
        <v>0.15</v>
      </c>
      <c r="N564">
        <v>1837.09</v>
      </c>
    </row>
    <row r="565" spans="1:14" x14ac:dyDescent="0.35">
      <c r="A565" t="s">
        <v>1082</v>
      </c>
      <c r="B565" s="1">
        <v>45868</v>
      </c>
      <c r="C565" t="s">
        <v>481</v>
      </c>
      <c r="D565" t="s">
        <v>349</v>
      </c>
      <c r="E565" t="s">
        <v>17</v>
      </c>
      <c r="F565" t="s">
        <v>18</v>
      </c>
      <c r="G565" t="s">
        <v>19</v>
      </c>
      <c r="H565" t="s">
        <v>20</v>
      </c>
      <c r="I565" t="s">
        <v>65</v>
      </c>
      <c r="J565" t="s">
        <v>66</v>
      </c>
      <c r="K565">
        <v>4</v>
      </c>
      <c r="L565" s="2">
        <v>32156.46</v>
      </c>
      <c r="M565">
        <v>0.1</v>
      </c>
      <c r="N565">
        <v>4045.02</v>
      </c>
    </row>
    <row r="566" spans="1:14" x14ac:dyDescent="0.35">
      <c r="A566" t="s">
        <v>1083</v>
      </c>
      <c r="B566" s="1">
        <v>45869</v>
      </c>
      <c r="C566" t="s">
        <v>387</v>
      </c>
      <c r="D566" t="s">
        <v>1084</v>
      </c>
      <c r="E566" t="s">
        <v>35</v>
      </c>
      <c r="F566" t="s">
        <v>36</v>
      </c>
      <c r="G566" t="s">
        <v>255</v>
      </c>
      <c r="H566" t="s">
        <v>29</v>
      </c>
      <c r="I566" t="s">
        <v>58</v>
      </c>
      <c r="J566" t="s">
        <v>59</v>
      </c>
      <c r="K566">
        <v>3</v>
      </c>
      <c r="L566" s="2">
        <v>2494.7800000000002</v>
      </c>
      <c r="M566">
        <v>0.1</v>
      </c>
      <c r="N566">
        <v>153.47999999999999</v>
      </c>
    </row>
    <row r="567" spans="1:14" x14ac:dyDescent="0.35">
      <c r="A567" t="s">
        <v>1085</v>
      </c>
      <c r="B567" s="1">
        <v>45870</v>
      </c>
      <c r="C567" t="s">
        <v>208</v>
      </c>
      <c r="D567" t="s">
        <v>524</v>
      </c>
      <c r="E567" t="s">
        <v>17</v>
      </c>
      <c r="F567" t="s">
        <v>76</v>
      </c>
      <c r="G567" t="s">
        <v>77</v>
      </c>
      <c r="H567" t="s">
        <v>20</v>
      </c>
      <c r="I567" t="s">
        <v>21</v>
      </c>
      <c r="J567" t="s">
        <v>72</v>
      </c>
      <c r="K567">
        <v>6</v>
      </c>
      <c r="L567" s="2">
        <v>15950.83</v>
      </c>
      <c r="M567">
        <v>0.05</v>
      </c>
      <c r="N567">
        <v>1055.44</v>
      </c>
    </row>
    <row r="568" spans="1:14" x14ac:dyDescent="0.35">
      <c r="A568" t="s">
        <v>1086</v>
      </c>
      <c r="B568" s="1">
        <v>45870</v>
      </c>
      <c r="C568" t="s">
        <v>481</v>
      </c>
      <c r="D568" t="s">
        <v>293</v>
      </c>
      <c r="E568" t="s">
        <v>17</v>
      </c>
      <c r="F568" t="s">
        <v>210</v>
      </c>
      <c r="G568" t="s">
        <v>211</v>
      </c>
      <c r="H568" t="s">
        <v>29</v>
      </c>
      <c r="I568" t="s">
        <v>58</v>
      </c>
      <c r="J568" t="s">
        <v>300</v>
      </c>
      <c r="K568">
        <v>4</v>
      </c>
      <c r="L568" s="2">
        <v>5393.28</v>
      </c>
      <c r="M568">
        <v>0.05</v>
      </c>
      <c r="N568">
        <v>535.46</v>
      </c>
    </row>
    <row r="569" spans="1:14" x14ac:dyDescent="0.35">
      <c r="A569" t="s">
        <v>1087</v>
      </c>
      <c r="B569" s="1">
        <v>45870</v>
      </c>
      <c r="C569" t="s">
        <v>789</v>
      </c>
      <c r="D569" t="s">
        <v>161</v>
      </c>
      <c r="E569" t="s">
        <v>26</v>
      </c>
      <c r="F569" t="s">
        <v>44</v>
      </c>
      <c r="G569" t="s">
        <v>45</v>
      </c>
      <c r="H569" t="s">
        <v>29</v>
      </c>
      <c r="I569" t="s">
        <v>94</v>
      </c>
      <c r="J569" t="s">
        <v>106</v>
      </c>
      <c r="K569">
        <v>3</v>
      </c>
      <c r="L569" s="2">
        <v>225045.85</v>
      </c>
      <c r="M569">
        <v>0.05</v>
      </c>
      <c r="N569">
        <v>13024.09</v>
      </c>
    </row>
    <row r="570" spans="1:14" x14ac:dyDescent="0.35">
      <c r="A570" t="s">
        <v>1088</v>
      </c>
      <c r="B570" s="1">
        <v>45871</v>
      </c>
      <c r="C570" t="s">
        <v>1067</v>
      </c>
      <c r="D570" t="s">
        <v>318</v>
      </c>
      <c r="E570" t="s">
        <v>26</v>
      </c>
      <c r="F570" t="s">
        <v>27</v>
      </c>
      <c r="G570" t="s">
        <v>28</v>
      </c>
      <c r="H570" t="s">
        <v>29</v>
      </c>
      <c r="I570" t="s">
        <v>58</v>
      </c>
      <c r="J570" t="s">
        <v>59</v>
      </c>
      <c r="K570">
        <v>2</v>
      </c>
      <c r="L570" s="2">
        <v>1698.66</v>
      </c>
      <c r="M570">
        <v>0</v>
      </c>
      <c r="N570">
        <v>301.83</v>
      </c>
    </row>
    <row r="571" spans="1:14" x14ac:dyDescent="0.35">
      <c r="A571" t="s">
        <v>1089</v>
      </c>
      <c r="B571" s="1">
        <v>45871</v>
      </c>
      <c r="C571" t="s">
        <v>160</v>
      </c>
      <c r="D571" t="s">
        <v>461</v>
      </c>
      <c r="E571" t="s">
        <v>26</v>
      </c>
      <c r="F571" t="s">
        <v>27</v>
      </c>
      <c r="G571" t="s">
        <v>249</v>
      </c>
      <c r="H571" t="s">
        <v>38</v>
      </c>
      <c r="I571" t="s">
        <v>39</v>
      </c>
      <c r="J571" t="s">
        <v>258</v>
      </c>
      <c r="K571">
        <v>4</v>
      </c>
      <c r="L571" s="2">
        <v>2297.8200000000002</v>
      </c>
      <c r="M571">
        <v>0.15</v>
      </c>
      <c r="N571">
        <v>250.6</v>
      </c>
    </row>
    <row r="572" spans="1:14" x14ac:dyDescent="0.35">
      <c r="A572" t="s">
        <v>1090</v>
      </c>
      <c r="B572" s="1">
        <v>45871</v>
      </c>
      <c r="C572" t="s">
        <v>303</v>
      </c>
      <c r="D572" t="s">
        <v>517</v>
      </c>
      <c r="E572" t="s">
        <v>51</v>
      </c>
      <c r="F572" t="s">
        <v>63</v>
      </c>
      <c r="G572" t="s">
        <v>324</v>
      </c>
      <c r="H572" t="s">
        <v>29</v>
      </c>
      <c r="I572" t="s">
        <v>58</v>
      </c>
      <c r="J572" t="s">
        <v>59</v>
      </c>
      <c r="K572">
        <v>4</v>
      </c>
      <c r="L572" s="2">
        <v>3489.77</v>
      </c>
      <c r="M572">
        <v>0.05</v>
      </c>
      <c r="N572">
        <v>667.22</v>
      </c>
    </row>
    <row r="573" spans="1:14" x14ac:dyDescent="0.35">
      <c r="A573" t="s">
        <v>1091</v>
      </c>
      <c r="B573" s="1">
        <v>45871</v>
      </c>
      <c r="C573" t="s">
        <v>311</v>
      </c>
      <c r="D573" t="s">
        <v>287</v>
      </c>
      <c r="E573" t="s">
        <v>35</v>
      </c>
      <c r="F573" t="s">
        <v>36</v>
      </c>
      <c r="G573" t="s">
        <v>37</v>
      </c>
      <c r="H573" t="s">
        <v>29</v>
      </c>
      <c r="I573" t="s">
        <v>58</v>
      </c>
      <c r="J573" t="s">
        <v>300</v>
      </c>
      <c r="K573">
        <v>6</v>
      </c>
      <c r="L573" s="2">
        <v>7601.44</v>
      </c>
      <c r="M573">
        <v>0.15</v>
      </c>
      <c r="N573">
        <v>525.76</v>
      </c>
    </row>
    <row r="574" spans="1:14" x14ac:dyDescent="0.35">
      <c r="A574" t="s">
        <v>1092</v>
      </c>
      <c r="B574" s="1">
        <v>45872</v>
      </c>
      <c r="C574" t="s">
        <v>343</v>
      </c>
      <c r="D574" t="s">
        <v>1033</v>
      </c>
      <c r="E574" t="s">
        <v>51</v>
      </c>
      <c r="F574" t="s">
        <v>92</v>
      </c>
      <c r="G574" t="s">
        <v>93</v>
      </c>
      <c r="H574" t="s">
        <v>29</v>
      </c>
      <c r="I574" t="s">
        <v>58</v>
      </c>
      <c r="J574" t="s">
        <v>88</v>
      </c>
      <c r="K574">
        <v>4</v>
      </c>
      <c r="L574" s="2">
        <v>9247.89</v>
      </c>
      <c r="M574">
        <v>0.05</v>
      </c>
      <c r="N574">
        <v>641.11</v>
      </c>
    </row>
    <row r="575" spans="1:14" x14ac:dyDescent="0.35">
      <c r="A575" t="s">
        <v>1093</v>
      </c>
      <c r="B575" s="1">
        <v>45872</v>
      </c>
      <c r="C575" t="s">
        <v>881</v>
      </c>
      <c r="D575" t="s">
        <v>512</v>
      </c>
      <c r="E575" t="s">
        <v>26</v>
      </c>
      <c r="F575" t="s">
        <v>27</v>
      </c>
      <c r="G575" t="s">
        <v>267</v>
      </c>
      <c r="H575" t="s">
        <v>38</v>
      </c>
      <c r="I575" t="s">
        <v>39</v>
      </c>
      <c r="J575" t="s">
        <v>134</v>
      </c>
      <c r="K575">
        <v>2</v>
      </c>
      <c r="L575" s="2">
        <v>1202.93</v>
      </c>
      <c r="M575">
        <v>0.15</v>
      </c>
      <c r="N575">
        <v>185.56</v>
      </c>
    </row>
    <row r="576" spans="1:14" x14ac:dyDescent="0.35">
      <c r="A576" t="s">
        <v>1094</v>
      </c>
      <c r="B576" s="1">
        <v>45872</v>
      </c>
      <c r="C576" t="s">
        <v>286</v>
      </c>
      <c r="D576" t="s">
        <v>955</v>
      </c>
      <c r="E576" t="s">
        <v>51</v>
      </c>
      <c r="F576" t="s">
        <v>104</v>
      </c>
      <c r="G576" t="s">
        <v>206</v>
      </c>
      <c r="H576" t="s">
        <v>29</v>
      </c>
      <c r="I576" t="s">
        <v>94</v>
      </c>
      <c r="J576" t="s">
        <v>95</v>
      </c>
      <c r="K576">
        <v>1</v>
      </c>
      <c r="L576" s="2">
        <v>56165.760000000002</v>
      </c>
      <c r="M576">
        <v>0.05</v>
      </c>
      <c r="N576">
        <v>8865.08</v>
      </c>
    </row>
    <row r="577" spans="1:14" x14ac:dyDescent="0.35">
      <c r="A577" t="s">
        <v>1095</v>
      </c>
      <c r="B577" s="1">
        <v>45873</v>
      </c>
      <c r="C577" t="s">
        <v>536</v>
      </c>
      <c r="D577" t="s">
        <v>1096</v>
      </c>
      <c r="E577" t="s">
        <v>35</v>
      </c>
      <c r="F577" t="s">
        <v>110</v>
      </c>
      <c r="G577" t="s">
        <v>111</v>
      </c>
      <c r="H577" t="s">
        <v>29</v>
      </c>
      <c r="I577" t="s">
        <v>30</v>
      </c>
      <c r="J577" t="s">
        <v>31</v>
      </c>
      <c r="K577">
        <v>7</v>
      </c>
      <c r="L577" s="2">
        <v>122424.91</v>
      </c>
      <c r="M577">
        <v>0.05</v>
      </c>
      <c r="N577">
        <v>6966.6</v>
      </c>
    </row>
    <row r="578" spans="1:14" x14ac:dyDescent="0.35">
      <c r="A578" t="s">
        <v>1097</v>
      </c>
      <c r="B578" s="1">
        <v>45873</v>
      </c>
      <c r="C578" t="s">
        <v>733</v>
      </c>
      <c r="D578" t="s">
        <v>580</v>
      </c>
      <c r="E578" t="s">
        <v>17</v>
      </c>
      <c r="F578" t="s">
        <v>18</v>
      </c>
      <c r="G578" t="s">
        <v>19</v>
      </c>
      <c r="H578" t="s">
        <v>20</v>
      </c>
      <c r="I578" t="s">
        <v>65</v>
      </c>
      <c r="J578" t="s">
        <v>117</v>
      </c>
      <c r="K578">
        <v>4</v>
      </c>
      <c r="L578" s="2">
        <v>21724.87</v>
      </c>
      <c r="M578">
        <v>0.05</v>
      </c>
      <c r="N578">
        <v>1453.13</v>
      </c>
    </row>
    <row r="579" spans="1:14" x14ac:dyDescent="0.35">
      <c r="A579" t="s">
        <v>1098</v>
      </c>
      <c r="B579" s="1">
        <v>45873</v>
      </c>
      <c r="C579" t="s">
        <v>460</v>
      </c>
      <c r="D579" t="s">
        <v>761</v>
      </c>
      <c r="E579" t="s">
        <v>51</v>
      </c>
      <c r="F579" t="s">
        <v>92</v>
      </c>
      <c r="G579" t="s">
        <v>93</v>
      </c>
      <c r="H579" t="s">
        <v>38</v>
      </c>
      <c r="I579" t="s">
        <v>218</v>
      </c>
      <c r="J579" t="s">
        <v>225</v>
      </c>
      <c r="K579">
        <v>1</v>
      </c>
      <c r="L579" s="2">
        <v>225.54</v>
      </c>
      <c r="M579">
        <v>0.05</v>
      </c>
      <c r="N579">
        <v>33.28</v>
      </c>
    </row>
    <row r="580" spans="1:14" x14ac:dyDescent="0.35">
      <c r="A580" t="s">
        <v>1099</v>
      </c>
      <c r="B580" s="1">
        <v>45873</v>
      </c>
      <c r="C580" t="s">
        <v>536</v>
      </c>
      <c r="D580" t="s">
        <v>188</v>
      </c>
      <c r="E580" t="s">
        <v>51</v>
      </c>
      <c r="F580" t="s">
        <v>52</v>
      </c>
      <c r="G580" t="s">
        <v>57</v>
      </c>
      <c r="H580" t="s">
        <v>38</v>
      </c>
      <c r="I580" t="s">
        <v>78</v>
      </c>
      <c r="J580" t="s">
        <v>174</v>
      </c>
      <c r="K580">
        <v>3</v>
      </c>
      <c r="L580" s="2">
        <v>1109.6600000000001</v>
      </c>
      <c r="M580">
        <v>0.15</v>
      </c>
      <c r="N580">
        <v>122.44</v>
      </c>
    </row>
    <row r="581" spans="1:14" x14ac:dyDescent="0.35">
      <c r="A581" t="s">
        <v>1100</v>
      </c>
      <c r="B581" s="1">
        <v>45874</v>
      </c>
      <c r="C581" t="s">
        <v>114</v>
      </c>
      <c r="D581" t="s">
        <v>616</v>
      </c>
      <c r="E581" t="s">
        <v>51</v>
      </c>
      <c r="F581" t="s">
        <v>99</v>
      </c>
      <c r="G581" t="s">
        <v>231</v>
      </c>
      <c r="H581" t="s">
        <v>20</v>
      </c>
      <c r="I581" t="s">
        <v>65</v>
      </c>
      <c r="J581" t="s">
        <v>142</v>
      </c>
      <c r="K581">
        <v>1</v>
      </c>
      <c r="L581" s="2">
        <v>20099.830000000002</v>
      </c>
      <c r="M581">
        <v>0.05</v>
      </c>
      <c r="N581">
        <v>1255.55</v>
      </c>
    </row>
    <row r="582" spans="1:14" x14ac:dyDescent="0.35">
      <c r="A582" t="s">
        <v>1101</v>
      </c>
      <c r="B582" s="1">
        <v>45874</v>
      </c>
      <c r="C582" t="s">
        <v>419</v>
      </c>
      <c r="D582" t="s">
        <v>341</v>
      </c>
      <c r="E582" t="s">
        <v>17</v>
      </c>
      <c r="F582" t="s">
        <v>210</v>
      </c>
      <c r="G582" t="s">
        <v>211</v>
      </c>
      <c r="H582" t="s">
        <v>29</v>
      </c>
      <c r="I582" t="s">
        <v>94</v>
      </c>
      <c r="J582" t="s">
        <v>106</v>
      </c>
      <c r="K582">
        <v>6</v>
      </c>
      <c r="L582" s="2">
        <v>426103.48</v>
      </c>
      <c r="M582">
        <v>0.1</v>
      </c>
      <c r="N582">
        <v>27569.27</v>
      </c>
    </row>
    <row r="583" spans="1:14" x14ac:dyDescent="0.35">
      <c r="A583" t="s">
        <v>1102</v>
      </c>
      <c r="B583" s="1">
        <v>45874</v>
      </c>
      <c r="C583" t="s">
        <v>954</v>
      </c>
      <c r="D583" t="s">
        <v>455</v>
      </c>
      <c r="E583" t="s">
        <v>51</v>
      </c>
      <c r="F583" t="s">
        <v>63</v>
      </c>
      <c r="G583" t="s">
        <v>64</v>
      </c>
      <c r="H583" t="s">
        <v>29</v>
      </c>
      <c r="I583" t="s">
        <v>58</v>
      </c>
      <c r="J583" t="s">
        <v>59</v>
      </c>
      <c r="K583">
        <v>3</v>
      </c>
      <c r="L583" s="2">
        <v>2149.04</v>
      </c>
      <c r="M583">
        <v>0.15</v>
      </c>
      <c r="N583">
        <v>263.24</v>
      </c>
    </row>
    <row r="584" spans="1:14" x14ac:dyDescent="0.35">
      <c r="A584" t="s">
        <v>1103</v>
      </c>
      <c r="B584" s="1">
        <v>45874</v>
      </c>
      <c r="C584" t="s">
        <v>575</v>
      </c>
      <c r="D584" t="s">
        <v>565</v>
      </c>
      <c r="E584" t="s">
        <v>26</v>
      </c>
      <c r="F584" t="s">
        <v>121</v>
      </c>
      <c r="G584" t="s">
        <v>122</v>
      </c>
      <c r="H584" t="s">
        <v>20</v>
      </c>
      <c r="I584" t="s">
        <v>21</v>
      </c>
      <c r="J584" t="s">
        <v>72</v>
      </c>
      <c r="K584">
        <v>6</v>
      </c>
      <c r="L584" s="2">
        <v>16828.330000000002</v>
      </c>
      <c r="M584">
        <v>0.05</v>
      </c>
      <c r="N584">
        <v>1190.21</v>
      </c>
    </row>
    <row r="585" spans="1:14" x14ac:dyDescent="0.35">
      <c r="A585" t="s">
        <v>1104</v>
      </c>
      <c r="B585" s="1">
        <v>45874</v>
      </c>
      <c r="C585" t="s">
        <v>1043</v>
      </c>
      <c r="D585" t="s">
        <v>293</v>
      </c>
      <c r="E585" t="s">
        <v>51</v>
      </c>
      <c r="F585" t="s">
        <v>52</v>
      </c>
      <c r="G585" t="s">
        <v>53</v>
      </c>
      <c r="H585" t="s">
        <v>20</v>
      </c>
      <c r="I585" t="s">
        <v>21</v>
      </c>
      <c r="J585" t="s">
        <v>22</v>
      </c>
      <c r="K585">
        <v>4</v>
      </c>
      <c r="L585" s="2">
        <v>25183.54</v>
      </c>
      <c r="M585">
        <v>0</v>
      </c>
      <c r="N585">
        <v>1932.66</v>
      </c>
    </row>
    <row r="586" spans="1:14" x14ac:dyDescent="0.35">
      <c r="A586" t="s">
        <v>1105</v>
      </c>
      <c r="B586" s="1">
        <v>45874</v>
      </c>
      <c r="C586" t="s">
        <v>314</v>
      </c>
      <c r="D586" t="s">
        <v>720</v>
      </c>
      <c r="E586" t="s">
        <v>51</v>
      </c>
      <c r="F586" t="s">
        <v>99</v>
      </c>
      <c r="G586" t="s">
        <v>482</v>
      </c>
      <c r="H586" t="s">
        <v>20</v>
      </c>
      <c r="I586" t="s">
        <v>46</v>
      </c>
      <c r="J586" t="s">
        <v>130</v>
      </c>
      <c r="K586">
        <v>5</v>
      </c>
      <c r="L586" s="2">
        <v>40460.74</v>
      </c>
      <c r="M586">
        <v>0.1</v>
      </c>
      <c r="N586">
        <v>2744.99</v>
      </c>
    </row>
    <row r="587" spans="1:14" x14ac:dyDescent="0.35">
      <c r="A587" t="s">
        <v>1106</v>
      </c>
      <c r="B587" s="1">
        <v>45875</v>
      </c>
      <c r="C587" t="s">
        <v>835</v>
      </c>
      <c r="D587" t="s">
        <v>633</v>
      </c>
      <c r="E587" t="s">
        <v>17</v>
      </c>
      <c r="F587" t="s">
        <v>185</v>
      </c>
      <c r="G587" t="s">
        <v>528</v>
      </c>
      <c r="H587" t="s">
        <v>29</v>
      </c>
      <c r="I587" t="s">
        <v>94</v>
      </c>
      <c r="J587" t="s">
        <v>138</v>
      </c>
      <c r="K587">
        <v>1</v>
      </c>
      <c r="L587" s="2">
        <v>45580.91</v>
      </c>
      <c r="M587">
        <v>0.05</v>
      </c>
      <c r="N587">
        <v>10328.09</v>
      </c>
    </row>
    <row r="588" spans="1:14" x14ac:dyDescent="0.35">
      <c r="A588" t="s">
        <v>1107</v>
      </c>
      <c r="B588" s="1">
        <v>45875</v>
      </c>
      <c r="C588" t="s">
        <v>716</v>
      </c>
      <c r="D588" t="s">
        <v>838</v>
      </c>
      <c r="E588" t="s">
        <v>51</v>
      </c>
      <c r="F588" t="s">
        <v>104</v>
      </c>
      <c r="G588" t="s">
        <v>105</v>
      </c>
      <c r="H588" t="s">
        <v>29</v>
      </c>
      <c r="I588" t="s">
        <v>30</v>
      </c>
      <c r="J588" t="s">
        <v>31</v>
      </c>
      <c r="K588">
        <v>1</v>
      </c>
      <c r="L588" s="2">
        <v>18178.580000000002</v>
      </c>
      <c r="M588">
        <v>0.05</v>
      </c>
      <c r="N588">
        <v>1330.21</v>
      </c>
    </row>
    <row r="589" spans="1:14" x14ac:dyDescent="0.35">
      <c r="A589" t="s">
        <v>1108</v>
      </c>
      <c r="B589" s="1">
        <v>45876</v>
      </c>
      <c r="C589" t="s">
        <v>435</v>
      </c>
      <c r="D589" t="s">
        <v>145</v>
      </c>
      <c r="E589" t="s">
        <v>26</v>
      </c>
      <c r="F589" t="s">
        <v>121</v>
      </c>
      <c r="G589" t="s">
        <v>214</v>
      </c>
      <c r="H589" t="s">
        <v>20</v>
      </c>
      <c r="I589" t="s">
        <v>46</v>
      </c>
      <c r="J589" t="s">
        <v>203</v>
      </c>
      <c r="K589">
        <v>1</v>
      </c>
      <c r="L589" s="2">
        <v>4921.54</v>
      </c>
      <c r="M589">
        <v>0.05</v>
      </c>
      <c r="N589">
        <v>1038.45</v>
      </c>
    </row>
    <row r="590" spans="1:14" x14ac:dyDescent="0.35">
      <c r="A590" t="s">
        <v>1109</v>
      </c>
      <c r="B590" s="1">
        <v>45876</v>
      </c>
      <c r="C590" t="s">
        <v>387</v>
      </c>
      <c r="D590" t="s">
        <v>439</v>
      </c>
      <c r="E590" t="s">
        <v>51</v>
      </c>
      <c r="F590" t="s">
        <v>52</v>
      </c>
      <c r="G590" t="s">
        <v>57</v>
      </c>
      <c r="H590" t="s">
        <v>29</v>
      </c>
      <c r="I590" t="s">
        <v>30</v>
      </c>
      <c r="J590" t="s">
        <v>31</v>
      </c>
      <c r="K590">
        <v>7</v>
      </c>
      <c r="L590" s="2">
        <v>121846.01</v>
      </c>
      <c r="M590">
        <v>0</v>
      </c>
      <c r="N590">
        <v>12510.57</v>
      </c>
    </row>
    <row r="591" spans="1:14" x14ac:dyDescent="0.35">
      <c r="A591" t="s">
        <v>1110</v>
      </c>
      <c r="B591" s="1">
        <v>45876</v>
      </c>
      <c r="C591" t="s">
        <v>733</v>
      </c>
      <c r="D591" t="s">
        <v>464</v>
      </c>
      <c r="E591" t="s">
        <v>51</v>
      </c>
      <c r="F591" t="s">
        <v>63</v>
      </c>
      <c r="G591" t="s">
        <v>64</v>
      </c>
      <c r="H591" t="s">
        <v>29</v>
      </c>
      <c r="I591" t="s">
        <v>58</v>
      </c>
      <c r="J591" t="s">
        <v>88</v>
      </c>
      <c r="K591">
        <v>3</v>
      </c>
      <c r="L591" s="2">
        <v>6255.01</v>
      </c>
      <c r="M591">
        <v>0.15</v>
      </c>
      <c r="N591">
        <v>686.57</v>
      </c>
    </row>
    <row r="592" spans="1:14" x14ac:dyDescent="0.35">
      <c r="A592" t="s">
        <v>1111</v>
      </c>
      <c r="B592" s="1">
        <v>45876</v>
      </c>
      <c r="C592" t="s">
        <v>333</v>
      </c>
      <c r="D592" t="s">
        <v>508</v>
      </c>
      <c r="E592" t="s">
        <v>26</v>
      </c>
      <c r="F592" t="s">
        <v>44</v>
      </c>
      <c r="G592" t="s">
        <v>45</v>
      </c>
      <c r="H592" t="s">
        <v>20</v>
      </c>
      <c r="I592" t="s">
        <v>21</v>
      </c>
      <c r="J592" t="s">
        <v>72</v>
      </c>
      <c r="K592">
        <v>2</v>
      </c>
      <c r="L592" s="2">
        <v>5884.52</v>
      </c>
      <c r="M592">
        <v>0.05</v>
      </c>
      <c r="N592">
        <v>1196.6400000000001</v>
      </c>
    </row>
    <row r="593" spans="1:14" x14ac:dyDescent="0.35">
      <c r="A593" t="s">
        <v>1112</v>
      </c>
      <c r="B593" s="1">
        <v>45877</v>
      </c>
      <c r="C593" t="s">
        <v>747</v>
      </c>
      <c r="D593" t="s">
        <v>266</v>
      </c>
      <c r="E593" t="s">
        <v>17</v>
      </c>
      <c r="F593" t="s">
        <v>18</v>
      </c>
      <c r="G593" t="s">
        <v>19</v>
      </c>
      <c r="H593" t="s">
        <v>29</v>
      </c>
      <c r="I593" t="s">
        <v>30</v>
      </c>
      <c r="J593" t="s">
        <v>112</v>
      </c>
      <c r="K593">
        <v>7</v>
      </c>
      <c r="L593" s="2">
        <v>180496.72</v>
      </c>
      <c r="M593">
        <v>0.1</v>
      </c>
      <c r="N593">
        <v>7771.19</v>
      </c>
    </row>
    <row r="594" spans="1:14" x14ac:dyDescent="0.35">
      <c r="A594" t="s">
        <v>1113</v>
      </c>
      <c r="B594" s="1">
        <v>45877</v>
      </c>
      <c r="C594" t="s">
        <v>821</v>
      </c>
      <c r="D594" t="s">
        <v>485</v>
      </c>
      <c r="E594" t="s">
        <v>35</v>
      </c>
      <c r="F594" t="s">
        <v>110</v>
      </c>
      <c r="G594" t="s">
        <v>111</v>
      </c>
      <c r="H594" t="s">
        <v>20</v>
      </c>
      <c r="I594" t="s">
        <v>21</v>
      </c>
      <c r="J594" t="s">
        <v>22</v>
      </c>
      <c r="K594">
        <v>6</v>
      </c>
      <c r="L594" s="2">
        <v>36904.089999999997</v>
      </c>
      <c r="M594">
        <v>0.05</v>
      </c>
      <c r="N594">
        <v>7046.47</v>
      </c>
    </row>
    <row r="595" spans="1:14" x14ac:dyDescent="0.35">
      <c r="A595" t="s">
        <v>1114</v>
      </c>
      <c r="B595" s="1">
        <v>45877</v>
      </c>
      <c r="C595" t="s">
        <v>328</v>
      </c>
      <c r="D595" t="s">
        <v>446</v>
      </c>
      <c r="E595" t="s">
        <v>17</v>
      </c>
      <c r="F595" t="s">
        <v>210</v>
      </c>
      <c r="G595" t="s">
        <v>211</v>
      </c>
      <c r="H595" t="s">
        <v>29</v>
      </c>
      <c r="I595" t="s">
        <v>94</v>
      </c>
      <c r="J595" t="s">
        <v>95</v>
      </c>
      <c r="K595">
        <v>6</v>
      </c>
      <c r="L595" s="2">
        <v>355761.33</v>
      </c>
      <c r="M595">
        <v>0.05</v>
      </c>
      <c r="N595">
        <v>79780.14</v>
      </c>
    </row>
    <row r="596" spans="1:14" x14ac:dyDescent="0.35">
      <c r="A596" t="s">
        <v>1115</v>
      </c>
      <c r="B596" s="1">
        <v>45878</v>
      </c>
      <c r="C596" t="s">
        <v>1116</v>
      </c>
      <c r="D596" t="s">
        <v>270</v>
      </c>
      <c r="E596" t="s">
        <v>51</v>
      </c>
      <c r="F596" t="s">
        <v>92</v>
      </c>
      <c r="G596" t="s">
        <v>93</v>
      </c>
      <c r="H596" t="s">
        <v>38</v>
      </c>
      <c r="I596" t="s">
        <v>218</v>
      </c>
      <c r="J596" t="s">
        <v>225</v>
      </c>
      <c r="K596">
        <v>1</v>
      </c>
      <c r="L596" s="2">
        <v>264.67</v>
      </c>
      <c r="M596">
        <v>0</v>
      </c>
      <c r="N596">
        <v>29.34</v>
      </c>
    </row>
    <row r="597" spans="1:14" x14ac:dyDescent="0.35">
      <c r="A597" t="s">
        <v>1117</v>
      </c>
      <c r="B597" s="1">
        <v>45878</v>
      </c>
      <c r="C597" t="s">
        <v>338</v>
      </c>
      <c r="D597" t="s">
        <v>190</v>
      </c>
      <c r="E597" t="s">
        <v>17</v>
      </c>
      <c r="F597" t="s">
        <v>210</v>
      </c>
      <c r="G597" t="s">
        <v>211</v>
      </c>
      <c r="H597" t="s">
        <v>29</v>
      </c>
      <c r="I597" t="s">
        <v>58</v>
      </c>
      <c r="J597" t="s">
        <v>59</v>
      </c>
      <c r="K597">
        <v>2</v>
      </c>
      <c r="L597" s="2">
        <v>1863.44</v>
      </c>
      <c r="M597">
        <v>0</v>
      </c>
      <c r="N597">
        <v>342.33</v>
      </c>
    </row>
    <row r="598" spans="1:14" x14ac:dyDescent="0.35">
      <c r="A598" t="s">
        <v>1118</v>
      </c>
      <c r="B598" s="1">
        <v>45878</v>
      </c>
      <c r="C598" t="s">
        <v>623</v>
      </c>
      <c r="D598" t="s">
        <v>563</v>
      </c>
      <c r="E598" t="s">
        <v>17</v>
      </c>
      <c r="F598" t="s">
        <v>210</v>
      </c>
      <c r="G598" t="s">
        <v>211</v>
      </c>
      <c r="H598" t="s">
        <v>29</v>
      </c>
      <c r="I598" t="s">
        <v>30</v>
      </c>
      <c r="J598" t="s">
        <v>31</v>
      </c>
      <c r="K598">
        <v>3</v>
      </c>
      <c r="L598" s="2">
        <v>52400.1</v>
      </c>
      <c r="M598">
        <v>0</v>
      </c>
      <c r="N598">
        <v>3550.08</v>
      </c>
    </row>
    <row r="599" spans="1:14" x14ac:dyDescent="0.35">
      <c r="A599" t="s">
        <v>1119</v>
      </c>
      <c r="B599" s="1">
        <v>45878</v>
      </c>
      <c r="C599" t="s">
        <v>42</v>
      </c>
      <c r="D599" t="s">
        <v>188</v>
      </c>
      <c r="E599" t="s">
        <v>51</v>
      </c>
      <c r="F599" t="s">
        <v>92</v>
      </c>
      <c r="G599" t="s">
        <v>178</v>
      </c>
      <c r="H599" t="s">
        <v>20</v>
      </c>
      <c r="I599" t="s">
        <v>65</v>
      </c>
      <c r="J599" t="s">
        <v>142</v>
      </c>
      <c r="K599">
        <v>4</v>
      </c>
      <c r="L599" s="2">
        <v>67517.14</v>
      </c>
      <c r="M599">
        <v>0.2</v>
      </c>
      <c r="N599">
        <v>10626.89</v>
      </c>
    </row>
    <row r="600" spans="1:14" x14ac:dyDescent="0.35">
      <c r="A600" t="s">
        <v>1120</v>
      </c>
      <c r="B600" s="1">
        <v>45878</v>
      </c>
      <c r="C600" t="s">
        <v>549</v>
      </c>
      <c r="D600" t="s">
        <v>16</v>
      </c>
      <c r="E600" t="s">
        <v>51</v>
      </c>
      <c r="F600" t="s">
        <v>63</v>
      </c>
      <c r="G600" t="s">
        <v>64</v>
      </c>
      <c r="H600" t="s">
        <v>20</v>
      </c>
      <c r="I600" t="s">
        <v>46</v>
      </c>
      <c r="J600" t="s">
        <v>47</v>
      </c>
      <c r="K600">
        <v>2</v>
      </c>
      <c r="L600" s="2">
        <v>11822.12</v>
      </c>
      <c r="M600">
        <v>0.2</v>
      </c>
      <c r="N600">
        <v>2181.92</v>
      </c>
    </row>
    <row r="601" spans="1:14" x14ac:dyDescent="0.35">
      <c r="A601" t="s">
        <v>1121</v>
      </c>
      <c r="B601" s="1">
        <v>45879</v>
      </c>
      <c r="C601" t="s">
        <v>595</v>
      </c>
      <c r="D601" t="s">
        <v>836</v>
      </c>
      <c r="E601" t="s">
        <v>51</v>
      </c>
      <c r="F601" t="s">
        <v>99</v>
      </c>
      <c r="G601" t="s">
        <v>482</v>
      </c>
      <c r="H601" t="s">
        <v>38</v>
      </c>
      <c r="I601" t="s">
        <v>78</v>
      </c>
      <c r="J601" t="s">
        <v>307</v>
      </c>
      <c r="K601">
        <v>6</v>
      </c>
      <c r="L601" s="2">
        <v>3196.02</v>
      </c>
      <c r="M601">
        <v>0</v>
      </c>
      <c r="N601">
        <v>558.91999999999996</v>
      </c>
    </row>
    <row r="602" spans="1:14" x14ac:dyDescent="0.35">
      <c r="A602" t="s">
        <v>1122</v>
      </c>
      <c r="B602" s="1">
        <v>45880</v>
      </c>
      <c r="C602" t="s">
        <v>154</v>
      </c>
      <c r="D602" t="s">
        <v>228</v>
      </c>
      <c r="E602" t="s">
        <v>17</v>
      </c>
      <c r="F602" t="s">
        <v>210</v>
      </c>
      <c r="G602" t="s">
        <v>211</v>
      </c>
      <c r="H602" t="s">
        <v>20</v>
      </c>
      <c r="I602" t="s">
        <v>65</v>
      </c>
      <c r="J602" t="s">
        <v>66</v>
      </c>
      <c r="K602">
        <v>5</v>
      </c>
      <c r="L602" s="2">
        <v>46027.09</v>
      </c>
      <c r="M602">
        <v>0</v>
      </c>
      <c r="N602">
        <v>8193.43</v>
      </c>
    </row>
    <row r="603" spans="1:14" x14ac:dyDescent="0.35">
      <c r="A603" t="s">
        <v>1123</v>
      </c>
      <c r="B603" s="1">
        <v>45880</v>
      </c>
      <c r="C603" t="s">
        <v>269</v>
      </c>
      <c r="D603" t="s">
        <v>619</v>
      </c>
      <c r="E603" t="s">
        <v>35</v>
      </c>
      <c r="F603" t="s">
        <v>128</v>
      </c>
      <c r="G603" t="s">
        <v>354</v>
      </c>
      <c r="H603" t="s">
        <v>20</v>
      </c>
      <c r="I603" t="s">
        <v>65</v>
      </c>
      <c r="J603" t="s">
        <v>66</v>
      </c>
      <c r="K603">
        <v>1</v>
      </c>
      <c r="L603" s="2">
        <v>7559.98</v>
      </c>
      <c r="M603">
        <v>0.15</v>
      </c>
      <c r="N603">
        <v>1304.4000000000001</v>
      </c>
    </row>
    <row r="604" spans="1:14" x14ac:dyDescent="0.35">
      <c r="A604" t="s">
        <v>1124</v>
      </c>
      <c r="B604" s="1">
        <v>45880</v>
      </c>
      <c r="C604" t="s">
        <v>903</v>
      </c>
      <c r="D604" t="s">
        <v>543</v>
      </c>
      <c r="E604" t="s">
        <v>35</v>
      </c>
      <c r="F604" t="s">
        <v>128</v>
      </c>
      <c r="G604" t="s">
        <v>129</v>
      </c>
      <c r="H604" t="s">
        <v>29</v>
      </c>
      <c r="I604" t="s">
        <v>30</v>
      </c>
      <c r="J604" t="s">
        <v>31</v>
      </c>
      <c r="K604">
        <v>7</v>
      </c>
      <c r="L604" s="2">
        <v>119418.08</v>
      </c>
      <c r="M604">
        <v>0.05</v>
      </c>
      <c r="N604">
        <v>13981.9</v>
      </c>
    </row>
    <row r="605" spans="1:14" x14ac:dyDescent="0.35">
      <c r="A605" t="s">
        <v>1125</v>
      </c>
      <c r="B605" s="1">
        <v>45880</v>
      </c>
      <c r="C605" t="s">
        <v>466</v>
      </c>
      <c r="D605" t="s">
        <v>127</v>
      </c>
      <c r="E605" t="s">
        <v>51</v>
      </c>
      <c r="F605" t="s">
        <v>63</v>
      </c>
      <c r="G605" t="s">
        <v>64</v>
      </c>
      <c r="H605" t="s">
        <v>38</v>
      </c>
      <c r="I605" t="s">
        <v>39</v>
      </c>
      <c r="J605" t="s">
        <v>134</v>
      </c>
      <c r="K605">
        <v>6</v>
      </c>
      <c r="L605" s="2">
        <v>3680.13</v>
      </c>
      <c r="M605">
        <v>0.2</v>
      </c>
      <c r="N605">
        <v>648.53</v>
      </c>
    </row>
    <row r="606" spans="1:14" x14ac:dyDescent="0.35">
      <c r="A606" t="s">
        <v>1126</v>
      </c>
      <c r="B606" s="1">
        <v>45880</v>
      </c>
      <c r="C606" t="s">
        <v>343</v>
      </c>
      <c r="D606" t="s">
        <v>761</v>
      </c>
      <c r="E606" t="s">
        <v>51</v>
      </c>
      <c r="F606" t="s">
        <v>104</v>
      </c>
      <c r="G606" t="s">
        <v>206</v>
      </c>
      <c r="H606" t="s">
        <v>29</v>
      </c>
      <c r="I606" t="s">
        <v>58</v>
      </c>
      <c r="J606" t="s">
        <v>59</v>
      </c>
      <c r="K606">
        <v>3</v>
      </c>
      <c r="L606" s="2">
        <v>2577.41</v>
      </c>
      <c r="M606">
        <v>0</v>
      </c>
      <c r="N606">
        <v>475.32</v>
      </c>
    </row>
    <row r="607" spans="1:14" x14ac:dyDescent="0.35">
      <c r="A607" t="s">
        <v>1127</v>
      </c>
      <c r="B607" s="1">
        <v>45881</v>
      </c>
      <c r="C607" t="s">
        <v>257</v>
      </c>
      <c r="D607" t="s">
        <v>137</v>
      </c>
      <c r="E607" t="s">
        <v>35</v>
      </c>
      <c r="F607" t="s">
        <v>36</v>
      </c>
      <c r="G607" t="s">
        <v>37</v>
      </c>
      <c r="H607" t="s">
        <v>38</v>
      </c>
      <c r="I607" t="s">
        <v>218</v>
      </c>
      <c r="J607" t="s">
        <v>219</v>
      </c>
      <c r="K607">
        <v>6</v>
      </c>
      <c r="L607" s="2">
        <v>1766.19</v>
      </c>
      <c r="M607">
        <v>0.05</v>
      </c>
      <c r="N607">
        <v>330.27</v>
      </c>
    </row>
    <row r="608" spans="1:14" x14ac:dyDescent="0.35">
      <c r="A608" t="s">
        <v>1128</v>
      </c>
      <c r="B608" s="1">
        <v>45882</v>
      </c>
      <c r="C608" t="s">
        <v>140</v>
      </c>
      <c r="D608" t="s">
        <v>357</v>
      </c>
      <c r="E608" t="s">
        <v>26</v>
      </c>
      <c r="F608" t="s">
        <v>44</v>
      </c>
      <c r="G608" t="s">
        <v>116</v>
      </c>
      <c r="H608" t="s">
        <v>20</v>
      </c>
      <c r="I608" t="s">
        <v>46</v>
      </c>
      <c r="J608" t="s">
        <v>47</v>
      </c>
      <c r="K608">
        <v>2</v>
      </c>
      <c r="L608" s="2">
        <v>11058.96</v>
      </c>
      <c r="M608">
        <v>0.15</v>
      </c>
      <c r="N608">
        <v>2165.4499999999998</v>
      </c>
    </row>
    <row r="609" spans="1:14" x14ac:dyDescent="0.35">
      <c r="A609" t="s">
        <v>1129</v>
      </c>
      <c r="B609" s="1">
        <v>45882</v>
      </c>
      <c r="C609" t="s">
        <v>1130</v>
      </c>
      <c r="D609" t="s">
        <v>763</v>
      </c>
      <c r="E609" t="s">
        <v>51</v>
      </c>
      <c r="F609" t="s">
        <v>99</v>
      </c>
      <c r="G609" t="s">
        <v>100</v>
      </c>
      <c r="H609" t="s">
        <v>29</v>
      </c>
      <c r="I609" t="s">
        <v>58</v>
      </c>
      <c r="J609" t="s">
        <v>300</v>
      </c>
      <c r="K609">
        <v>4</v>
      </c>
      <c r="L609" s="2">
        <v>5941.89</v>
      </c>
      <c r="M609">
        <v>0</v>
      </c>
      <c r="N609">
        <v>887.35</v>
      </c>
    </row>
    <row r="610" spans="1:14" x14ac:dyDescent="0.35">
      <c r="A610" t="s">
        <v>1131</v>
      </c>
      <c r="B610" s="1">
        <v>45882</v>
      </c>
      <c r="C610" t="s">
        <v>430</v>
      </c>
      <c r="D610" t="s">
        <v>431</v>
      </c>
      <c r="E610" t="s">
        <v>35</v>
      </c>
      <c r="F610" t="s">
        <v>70</v>
      </c>
      <c r="G610" t="s">
        <v>71</v>
      </c>
      <c r="H610" t="s">
        <v>38</v>
      </c>
      <c r="I610" t="s">
        <v>78</v>
      </c>
      <c r="J610" t="s">
        <v>307</v>
      </c>
      <c r="K610">
        <v>5</v>
      </c>
      <c r="L610" s="2">
        <v>2804.11</v>
      </c>
      <c r="M610">
        <v>0</v>
      </c>
      <c r="N610">
        <v>487.02</v>
      </c>
    </row>
    <row r="611" spans="1:14" x14ac:dyDescent="0.35">
      <c r="A611" t="s">
        <v>1132</v>
      </c>
      <c r="B611" s="1">
        <v>45882</v>
      </c>
      <c r="C611" t="s">
        <v>1133</v>
      </c>
      <c r="D611" t="s">
        <v>670</v>
      </c>
      <c r="E611" t="s">
        <v>51</v>
      </c>
      <c r="F611" t="s">
        <v>104</v>
      </c>
      <c r="G611" t="s">
        <v>206</v>
      </c>
      <c r="H611" t="s">
        <v>20</v>
      </c>
      <c r="I611" t="s">
        <v>46</v>
      </c>
      <c r="J611" t="s">
        <v>130</v>
      </c>
      <c r="K611">
        <v>7</v>
      </c>
      <c r="L611" s="2">
        <v>61324.45</v>
      </c>
      <c r="M611">
        <v>0</v>
      </c>
      <c r="N611">
        <v>12455.12</v>
      </c>
    </row>
    <row r="612" spans="1:14" x14ac:dyDescent="0.35">
      <c r="A612" t="s">
        <v>1134</v>
      </c>
      <c r="B612" s="1">
        <v>45882</v>
      </c>
      <c r="C612" t="s">
        <v>737</v>
      </c>
      <c r="D612" t="s">
        <v>970</v>
      </c>
      <c r="E612" t="s">
        <v>26</v>
      </c>
      <c r="F612" t="s">
        <v>44</v>
      </c>
      <c r="G612" t="s">
        <v>45</v>
      </c>
      <c r="H612" t="s">
        <v>38</v>
      </c>
      <c r="I612" t="s">
        <v>218</v>
      </c>
      <c r="J612" t="s">
        <v>225</v>
      </c>
      <c r="K612">
        <v>1</v>
      </c>
      <c r="L612" s="2">
        <v>225.1</v>
      </c>
      <c r="M612">
        <v>0.1</v>
      </c>
      <c r="N612">
        <v>18.41</v>
      </c>
    </row>
    <row r="613" spans="1:14" x14ac:dyDescent="0.35">
      <c r="A613" t="s">
        <v>1135</v>
      </c>
      <c r="B613" s="1">
        <v>45882</v>
      </c>
      <c r="C613" t="s">
        <v>382</v>
      </c>
      <c r="D613" t="s">
        <v>630</v>
      </c>
      <c r="E613" t="s">
        <v>35</v>
      </c>
      <c r="F613" t="s">
        <v>128</v>
      </c>
      <c r="G613" t="s">
        <v>354</v>
      </c>
      <c r="H613" t="s">
        <v>29</v>
      </c>
      <c r="I613" t="s">
        <v>94</v>
      </c>
      <c r="J613" t="s">
        <v>106</v>
      </c>
      <c r="K613">
        <v>1</v>
      </c>
      <c r="L613" s="2">
        <v>73190.960000000006</v>
      </c>
      <c r="M613">
        <v>0.05</v>
      </c>
      <c r="N613">
        <v>11909.07</v>
      </c>
    </row>
    <row r="614" spans="1:14" x14ac:dyDescent="0.35">
      <c r="A614" t="s">
        <v>1136</v>
      </c>
      <c r="B614" s="1">
        <v>45883</v>
      </c>
      <c r="C614" t="s">
        <v>821</v>
      </c>
      <c r="D614" t="s">
        <v>683</v>
      </c>
      <c r="E614" t="s">
        <v>51</v>
      </c>
      <c r="F614" t="s">
        <v>52</v>
      </c>
      <c r="G614" t="s">
        <v>53</v>
      </c>
      <c r="H614" t="s">
        <v>29</v>
      </c>
      <c r="I614" t="s">
        <v>30</v>
      </c>
      <c r="J614" t="s">
        <v>182</v>
      </c>
      <c r="K614">
        <v>6</v>
      </c>
      <c r="L614" s="2">
        <v>227260.44</v>
      </c>
      <c r="M614">
        <v>0.1</v>
      </c>
      <c r="N614">
        <v>18526.400000000001</v>
      </c>
    </row>
    <row r="615" spans="1:14" x14ac:dyDescent="0.35">
      <c r="A615" t="s">
        <v>1137</v>
      </c>
      <c r="B615" s="1">
        <v>45883</v>
      </c>
      <c r="C615" t="s">
        <v>800</v>
      </c>
      <c r="D615" t="s">
        <v>361</v>
      </c>
      <c r="E615" t="s">
        <v>35</v>
      </c>
      <c r="F615" t="s">
        <v>70</v>
      </c>
      <c r="G615" t="s">
        <v>71</v>
      </c>
      <c r="H615" t="s">
        <v>29</v>
      </c>
      <c r="I615" t="s">
        <v>30</v>
      </c>
      <c r="J615" t="s">
        <v>112</v>
      </c>
      <c r="K615">
        <v>3</v>
      </c>
      <c r="L615" s="2">
        <v>71835.08</v>
      </c>
      <c r="M615">
        <v>0.2</v>
      </c>
      <c r="N615">
        <v>11643.62</v>
      </c>
    </row>
    <row r="616" spans="1:14" x14ac:dyDescent="0.35">
      <c r="A616" t="s">
        <v>1138</v>
      </c>
      <c r="B616" s="1">
        <v>45883</v>
      </c>
      <c r="C616" t="s">
        <v>306</v>
      </c>
      <c r="D616" t="s">
        <v>743</v>
      </c>
      <c r="E616" t="s">
        <v>35</v>
      </c>
      <c r="F616" t="s">
        <v>128</v>
      </c>
      <c r="G616" t="s">
        <v>129</v>
      </c>
      <c r="H616" t="s">
        <v>38</v>
      </c>
      <c r="I616" t="s">
        <v>78</v>
      </c>
      <c r="J616" t="s">
        <v>79</v>
      </c>
      <c r="K616">
        <v>5</v>
      </c>
      <c r="L616" s="2">
        <v>1404.65</v>
      </c>
      <c r="M616">
        <v>0.2</v>
      </c>
      <c r="N616">
        <v>183.97</v>
      </c>
    </row>
    <row r="617" spans="1:14" x14ac:dyDescent="0.35">
      <c r="A617" t="s">
        <v>1139</v>
      </c>
      <c r="B617" s="1">
        <v>45884</v>
      </c>
      <c r="C617" t="s">
        <v>409</v>
      </c>
      <c r="D617" t="s">
        <v>860</v>
      </c>
      <c r="E617" t="s">
        <v>17</v>
      </c>
      <c r="F617" t="s">
        <v>210</v>
      </c>
      <c r="G617" t="s">
        <v>211</v>
      </c>
      <c r="H617" t="s">
        <v>29</v>
      </c>
      <c r="I617" t="s">
        <v>58</v>
      </c>
      <c r="J617" t="s">
        <v>300</v>
      </c>
      <c r="K617">
        <v>6</v>
      </c>
      <c r="L617" s="2">
        <v>7656.38</v>
      </c>
      <c r="M617">
        <v>0.1</v>
      </c>
      <c r="N617">
        <v>653.91999999999996</v>
      </c>
    </row>
    <row r="618" spans="1:14" x14ac:dyDescent="0.35">
      <c r="A618" t="s">
        <v>1140</v>
      </c>
      <c r="B618" s="1">
        <v>45884</v>
      </c>
      <c r="C618" t="s">
        <v>68</v>
      </c>
      <c r="D618" t="s">
        <v>62</v>
      </c>
      <c r="E618" t="s">
        <v>35</v>
      </c>
      <c r="F618" t="s">
        <v>128</v>
      </c>
      <c r="G618" t="s">
        <v>129</v>
      </c>
      <c r="H618" t="s">
        <v>38</v>
      </c>
      <c r="I618" t="s">
        <v>39</v>
      </c>
      <c r="J618" t="s">
        <v>134</v>
      </c>
      <c r="K618">
        <v>7</v>
      </c>
      <c r="L618" s="2">
        <v>4338.09</v>
      </c>
      <c r="M618">
        <v>0.2</v>
      </c>
      <c r="N618">
        <v>669.17</v>
      </c>
    </row>
    <row r="619" spans="1:14" x14ac:dyDescent="0.35">
      <c r="A619" t="s">
        <v>1141</v>
      </c>
      <c r="B619" s="1">
        <v>45884</v>
      </c>
      <c r="C619" t="s">
        <v>438</v>
      </c>
      <c r="D619" t="s">
        <v>474</v>
      </c>
      <c r="E619" t="s">
        <v>17</v>
      </c>
      <c r="F619" t="s">
        <v>185</v>
      </c>
      <c r="G619" t="s">
        <v>186</v>
      </c>
      <c r="H619" t="s">
        <v>20</v>
      </c>
      <c r="I619" t="s">
        <v>65</v>
      </c>
      <c r="J619" t="s">
        <v>66</v>
      </c>
      <c r="K619">
        <v>3</v>
      </c>
      <c r="L619" s="2">
        <v>24337.16</v>
      </c>
      <c r="M619">
        <v>0.15</v>
      </c>
      <c r="N619">
        <v>4843.88</v>
      </c>
    </row>
    <row r="620" spans="1:14" x14ac:dyDescent="0.35">
      <c r="A620" t="s">
        <v>1142</v>
      </c>
      <c r="B620" s="1">
        <v>45884</v>
      </c>
      <c r="C620" t="s">
        <v>649</v>
      </c>
      <c r="D620" t="s">
        <v>85</v>
      </c>
      <c r="E620" t="s">
        <v>26</v>
      </c>
      <c r="F620" t="s">
        <v>86</v>
      </c>
      <c r="G620" t="s">
        <v>87</v>
      </c>
      <c r="H620" t="s">
        <v>29</v>
      </c>
      <c r="I620" t="s">
        <v>94</v>
      </c>
      <c r="J620" t="s">
        <v>138</v>
      </c>
      <c r="K620">
        <v>1</v>
      </c>
      <c r="L620" s="2">
        <v>45069.99</v>
      </c>
      <c r="M620">
        <v>0.05</v>
      </c>
      <c r="N620">
        <v>3557.03</v>
      </c>
    </row>
    <row r="621" spans="1:14" x14ac:dyDescent="0.35">
      <c r="A621" t="s">
        <v>1143</v>
      </c>
      <c r="B621" s="1">
        <v>45885</v>
      </c>
      <c r="C621" t="s">
        <v>419</v>
      </c>
      <c r="D621" t="s">
        <v>607</v>
      </c>
      <c r="E621" t="s">
        <v>51</v>
      </c>
      <c r="F621" t="s">
        <v>92</v>
      </c>
      <c r="G621" t="s">
        <v>93</v>
      </c>
      <c r="H621" t="s">
        <v>29</v>
      </c>
      <c r="I621" t="s">
        <v>58</v>
      </c>
      <c r="J621" t="s">
        <v>59</v>
      </c>
      <c r="K621">
        <v>5</v>
      </c>
      <c r="L621" s="2">
        <v>3977.16</v>
      </c>
      <c r="M621">
        <v>0.1</v>
      </c>
      <c r="N621">
        <v>489.79</v>
      </c>
    </row>
    <row r="622" spans="1:14" x14ac:dyDescent="0.35">
      <c r="A622" t="s">
        <v>1144</v>
      </c>
      <c r="B622" s="1">
        <v>45885</v>
      </c>
      <c r="C622" t="s">
        <v>402</v>
      </c>
      <c r="D622" t="s">
        <v>996</v>
      </c>
      <c r="E622" t="s">
        <v>35</v>
      </c>
      <c r="F622" t="s">
        <v>110</v>
      </c>
      <c r="G622" t="s">
        <v>111</v>
      </c>
      <c r="H622" t="s">
        <v>38</v>
      </c>
      <c r="I622" t="s">
        <v>39</v>
      </c>
      <c r="J622" t="s">
        <v>134</v>
      </c>
      <c r="K622">
        <v>5</v>
      </c>
      <c r="L622" s="2">
        <v>3112.3</v>
      </c>
      <c r="M622">
        <v>0.1</v>
      </c>
      <c r="N622">
        <v>215.34</v>
      </c>
    </row>
    <row r="623" spans="1:14" x14ac:dyDescent="0.35">
      <c r="A623" t="s">
        <v>1145</v>
      </c>
      <c r="B623" s="1">
        <v>45885</v>
      </c>
      <c r="C623" t="s">
        <v>706</v>
      </c>
      <c r="D623" t="s">
        <v>290</v>
      </c>
      <c r="E623" t="s">
        <v>26</v>
      </c>
      <c r="F623" t="s">
        <v>121</v>
      </c>
      <c r="G623" t="s">
        <v>214</v>
      </c>
      <c r="H623" t="s">
        <v>38</v>
      </c>
      <c r="I623" t="s">
        <v>218</v>
      </c>
      <c r="J623" t="s">
        <v>221</v>
      </c>
      <c r="K623">
        <v>5</v>
      </c>
      <c r="L623" s="2">
        <v>913.76</v>
      </c>
      <c r="M623">
        <v>0.05</v>
      </c>
      <c r="N623">
        <v>74.05</v>
      </c>
    </row>
    <row r="624" spans="1:14" x14ac:dyDescent="0.35">
      <c r="A624" t="s">
        <v>1146</v>
      </c>
      <c r="B624" s="1">
        <v>45885</v>
      </c>
      <c r="C624" t="s">
        <v>666</v>
      </c>
      <c r="D624" t="s">
        <v>161</v>
      </c>
      <c r="E624" t="s">
        <v>26</v>
      </c>
      <c r="F624" t="s">
        <v>44</v>
      </c>
      <c r="G624" t="s">
        <v>45</v>
      </c>
      <c r="H624" t="s">
        <v>29</v>
      </c>
      <c r="I624" t="s">
        <v>94</v>
      </c>
      <c r="J624" t="s">
        <v>95</v>
      </c>
      <c r="K624">
        <v>2</v>
      </c>
      <c r="L624" s="2">
        <v>119356.21</v>
      </c>
      <c r="M624">
        <v>0</v>
      </c>
      <c r="N624">
        <v>14903.07</v>
      </c>
    </row>
    <row r="625" spans="1:14" x14ac:dyDescent="0.35">
      <c r="A625" t="s">
        <v>1147</v>
      </c>
      <c r="B625" s="1">
        <v>45885</v>
      </c>
      <c r="C625" t="s">
        <v>625</v>
      </c>
      <c r="D625" t="s">
        <v>127</v>
      </c>
      <c r="E625" t="s">
        <v>35</v>
      </c>
      <c r="F625" t="s">
        <v>36</v>
      </c>
      <c r="G625" t="s">
        <v>255</v>
      </c>
      <c r="H625" t="s">
        <v>20</v>
      </c>
      <c r="I625" t="s">
        <v>65</v>
      </c>
      <c r="J625" t="s">
        <v>117</v>
      </c>
      <c r="K625">
        <v>3</v>
      </c>
      <c r="L625" s="2">
        <v>14704.15</v>
      </c>
      <c r="M625">
        <v>0.1</v>
      </c>
      <c r="N625">
        <v>2507.7399999999998</v>
      </c>
    </row>
    <row r="626" spans="1:14" x14ac:dyDescent="0.35">
      <c r="A626" t="s">
        <v>1148</v>
      </c>
      <c r="B626" s="1">
        <v>45885</v>
      </c>
      <c r="C626" t="s">
        <v>747</v>
      </c>
      <c r="D626" t="s">
        <v>245</v>
      </c>
      <c r="E626" t="s">
        <v>35</v>
      </c>
      <c r="F626" t="s">
        <v>128</v>
      </c>
      <c r="G626" t="s">
        <v>354</v>
      </c>
      <c r="H626" t="s">
        <v>29</v>
      </c>
      <c r="I626" t="s">
        <v>58</v>
      </c>
      <c r="J626" t="s">
        <v>88</v>
      </c>
      <c r="K626">
        <v>3</v>
      </c>
      <c r="L626" s="2">
        <v>6986.22</v>
      </c>
      <c r="M626">
        <v>0.1</v>
      </c>
      <c r="N626">
        <v>418.53</v>
      </c>
    </row>
    <row r="627" spans="1:14" x14ac:dyDescent="0.35">
      <c r="A627" t="s">
        <v>1149</v>
      </c>
      <c r="B627" s="1">
        <v>45886</v>
      </c>
      <c r="C627" t="s">
        <v>411</v>
      </c>
      <c r="D627" t="s">
        <v>148</v>
      </c>
      <c r="E627" t="s">
        <v>17</v>
      </c>
      <c r="F627" t="s">
        <v>210</v>
      </c>
      <c r="G627" t="s">
        <v>211</v>
      </c>
      <c r="H627" t="s">
        <v>29</v>
      </c>
      <c r="I627" t="s">
        <v>30</v>
      </c>
      <c r="J627" t="s">
        <v>31</v>
      </c>
      <c r="K627">
        <v>4</v>
      </c>
      <c r="L627" s="2">
        <v>60445.63</v>
      </c>
      <c r="M627">
        <v>0.1</v>
      </c>
      <c r="N627">
        <v>6328.88</v>
      </c>
    </row>
    <row r="628" spans="1:14" x14ac:dyDescent="0.35">
      <c r="A628" t="s">
        <v>1150</v>
      </c>
      <c r="B628" s="1">
        <v>45886</v>
      </c>
      <c r="C628" t="s">
        <v>1151</v>
      </c>
      <c r="D628" t="s">
        <v>1152</v>
      </c>
      <c r="E628" t="s">
        <v>26</v>
      </c>
      <c r="F628" t="s">
        <v>121</v>
      </c>
      <c r="G628" t="s">
        <v>214</v>
      </c>
      <c r="H628" t="s">
        <v>38</v>
      </c>
      <c r="I628" t="s">
        <v>218</v>
      </c>
      <c r="J628" t="s">
        <v>221</v>
      </c>
      <c r="K628">
        <v>7</v>
      </c>
      <c r="L628" s="2">
        <v>1075.75</v>
      </c>
      <c r="M628">
        <v>0.15</v>
      </c>
      <c r="N628">
        <v>224.55</v>
      </c>
    </row>
    <row r="629" spans="1:14" x14ac:dyDescent="0.35">
      <c r="A629" t="s">
        <v>1153</v>
      </c>
      <c r="B629" s="1">
        <v>45886</v>
      </c>
      <c r="C629" t="s">
        <v>623</v>
      </c>
      <c r="D629" t="s">
        <v>103</v>
      </c>
      <c r="E629" t="s">
        <v>51</v>
      </c>
      <c r="F629" t="s">
        <v>63</v>
      </c>
      <c r="G629" t="s">
        <v>64</v>
      </c>
      <c r="H629" t="s">
        <v>29</v>
      </c>
      <c r="I629" t="s">
        <v>58</v>
      </c>
      <c r="J629" t="s">
        <v>88</v>
      </c>
      <c r="K629">
        <v>4</v>
      </c>
      <c r="L629" s="2">
        <v>9064.59</v>
      </c>
      <c r="M629">
        <v>0.15</v>
      </c>
      <c r="N629">
        <v>1666.19</v>
      </c>
    </row>
    <row r="630" spans="1:14" x14ac:dyDescent="0.35">
      <c r="A630" t="s">
        <v>1154</v>
      </c>
      <c r="B630" s="1">
        <v>45886</v>
      </c>
      <c r="C630" t="s">
        <v>1077</v>
      </c>
      <c r="D630" t="s">
        <v>700</v>
      </c>
      <c r="E630" t="s">
        <v>17</v>
      </c>
      <c r="F630" t="s">
        <v>76</v>
      </c>
      <c r="G630" t="s">
        <v>77</v>
      </c>
      <c r="H630" t="s">
        <v>20</v>
      </c>
      <c r="I630" t="s">
        <v>46</v>
      </c>
      <c r="J630" t="s">
        <v>130</v>
      </c>
      <c r="K630">
        <v>3</v>
      </c>
      <c r="L630" s="2">
        <v>23750.87</v>
      </c>
      <c r="M630">
        <v>0.1</v>
      </c>
      <c r="N630">
        <v>3435.84</v>
      </c>
    </row>
    <row r="631" spans="1:14" x14ac:dyDescent="0.35">
      <c r="A631" t="s">
        <v>1155</v>
      </c>
      <c r="B631" s="1">
        <v>45886</v>
      </c>
      <c r="C631" t="s">
        <v>991</v>
      </c>
      <c r="D631" t="s">
        <v>1084</v>
      </c>
      <c r="E631" t="s">
        <v>51</v>
      </c>
      <c r="F631" t="s">
        <v>99</v>
      </c>
      <c r="G631" t="s">
        <v>482</v>
      </c>
      <c r="H631" t="s">
        <v>29</v>
      </c>
      <c r="I631" t="s">
        <v>94</v>
      </c>
      <c r="J631" t="s">
        <v>138</v>
      </c>
      <c r="K631">
        <v>5</v>
      </c>
      <c r="L631" s="2">
        <v>225245.26</v>
      </c>
      <c r="M631">
        <v>0.05</v>
      </c>
      <c r="N631">
        <v>22005.13</v>
      </c>
    </row>
    <row r="632" spans="1:14" x14ac:dyDescent="0.35">
      <c r="A632" t="s">
        <v>1156</v>
      </c>
      <c r="B632" s="1">
        <v>45886</v>
      </c>
      <c r="C632" t="s">
        <v>704</v>
      </c>
      <c r="D632" t="s">
        <v>254</v>
      </c>
      <c r="E632" t="s">
        <v>35</v>
      </c>
      <c r="F632" t="s">
        <v>128</v>
      </c>
      <c r="G632" t="s">
        <v>354</v>
      </c>
      <c r="H632" t="s">
        <v>20</v>
      </c>
      <c r="I632" t="s">
        <v>65</v>
      </c>
      <c r="J632" t="s">
        <v>142</v>
      </c>
      <c r="K632">
        <v>6</v>
      </c>
      <c r="L632" s="2">
        <v>108510.35</v>
      </c>
      <c r="M632">
        <v>0.2</v>
      </c>
      <c r="N632">
        <v>11570.46</v>
      </c>
    </row>
    <row r="633" spans="1:14" x14ac:dyDescent="0.35">
      <c r="A633" t="s">
        <v>1157</v>
      </c>
      <c r="B633" s="1">
        <v>45887</v>
      </c>
      <c r="C633" t="s">
        <v>140</v>
      </c>
      <c r="D633" t="s">
        <v>743</v>
      </c>
      <c r="E633" t="s">
        <v>35</v>
      </c>
      <c r="F633" t="s">
        <v>70</v>
      </c>
      <c r="G633" t="s">
        <v>297</v>
      </c>
      <c r="H633" t="s">
        <v>29</v>
      </c>
      <c r="I633" t="s">
        <v>94</v>
      </c>
      <c r="J633" t="s">
        <v>95</v>
      </c>
      <c r="K633">
        <v>3</v>
      </c>
      <c r="L633" s="2">
        <v>149352.66</v>
      </c>
      <c r="M633">
        <v>0.2</v>
      </c>
      <c r="N633">
        <v>10293.620000000001</v>
      </c>
    </row>
    <row r="634" spans="1:14" x14ac:dyDescent="0.35">
      <c r="A634" t="s">
        <v>1158</v>
      </c>
      <c r="B634" s="1">
        <v>45887</v>
      </c>
      <c r="C634" t="s">
        <v>1159</v>
      </c>
      <c r="D634" t="s">
        <v>248</v>
      </c>
      <c r="E634" t="s">
        <v>51</v>
      </c>
      <c r="F634" t="s">
        <v>52</v>
      </c>
      <c r="G634" t="s">
        <v>53</v>
      </c>
      <c r="H634" t="s">
        <v>38</v>
      </c>
      <c r="I634" t="s">
        <v>78</v>
      </c>
      <c r="J634" t="s">
        <v>174</v>
      </c>
      <c r="K634">
        <v>6</v>
      </c>
      <c r="L634" s="2">
        <v>2148</v>
      </c>
      <c r="M634">
        <v>0.2</v>
      </c>
      <c r="N634">
        <v>65.48</v>
      </c>
    </row>
    <row r="635" spans="1:14" x14ac:dyDescent="0.35">
      <c r="A635" t="s">
        <v>1160</v>
      </c>
      <c r="B635" s="1">
        <v>45888</v>
      </c>
      <c r="C635" t="s">
        <v>661</v>
      </c>
      <c r="D635" t="s">
        <v>1161</v>
      </c>
      <c r="E635" t="s">
        <v>51</v>
      </c>
      <c r="F635" t="s">
        <v>104</v>
      </c>
      <c r="G635" t="s">
        <v>206</v>
      </c>
      <c r="H635" t="s">
        <v>29</v>
      </c>
      <c r="I635" t="s">
        <v>58</v>
      </c>
      <c r="J635" t="s">
        <v>59</v>
      </c>
      <c r="K635">
        <v>4</v>
      </c>
      <c r="L635" s="2">
        <v>3341.36</v>
      </c>
      <c r="M635">
        <v>0.1</v>
      </c>
      <c r="N635">
        <v>217.45</v>
      </c>
    </row>
    <row r="636" spans="1:14" x14ac:dyDescent="0.35">
      <c r="A636" t="s">
        <v>1162</v>
      </c>
      <c r="B636" s="1">
        <v>45888</v>
      </c>
      <c r="C636" t="s">
        <v>445</v>
      </c>
      <c r="D636" t="s">
        <v>563</v>
      </c>
      <c r="E636" t="s">
        <v>26</v>
      </c>
      <c r="F636" t="s">
        <v>86</v>
      </c>
      <c r="G636" t="s">
        <v>87</v>
      </c>
      <c r="H636" t="s">
        <v>38</v>
      </c>
      <c r="I636" t="s">
        <v>218</v>
      </c>
      <c r="J636" t="s">
        <v>221</v>
      </c>
      <c r="K636">
        <v>2</v>
      </c>
      <c r="L636" s="2">
        <v>313.82</v>
      </c>
      <c r="M636">
        <v>0.1</v>
      </c>
      <c r="N636">
        <v>68.08</v>
      </c>
    </row>
    <row r="637" spans="1:14" x14ac:dyDescent="0.35">
      <c r="A637" t="s">
        <v>1163</v>
      </c>
      <c r="B637" s="1">
        <v>45888</v>
      </c>
      <c r="C637" t="s">
        <v>533</v>
      </c>
      <c r="D637" t="s">
        <v>234</v>
      </c>
      <c r="E637" t="s">
        <v>17</v>
      </c>
      <c r="F637" t="s">
        <v>185</v>
      </c>
      <c r="G637" t="s">
        <v>186</v>
      </c>
      <c r="H637" t="s">
        <v>20</v>
      </c>
      <c r="I637" t="s">
        <v>21</v>
      </c>
      <c r="J637" t="s">
        <v>197</v>
      </c>
      <c r="K637">
        <v>4</v>
      </c>
      <c r="L637" s="2">
        <v>51038.6</v>
      </c>
      <c r="M637">
        <v>0</v>
      </c>
      <c r="N637">
        <v>10436.459999999999</v>
      </c>
    </row>
    <row r="638" spans="1:14" x14ac:dyDescent="0.35">
      <c r="A638" t="s">
        <v>1164</v>
      </c>
      <c r="B638" s="1">
        <v>45889</v>
      </c>
      <c r="C638" t="s">
        <v>160</v>
      </c>
      <c r="D638" t="s">
        <v>836</v>
      </c>
      <c r="E638" t="s">
        <v>35</v>
      </c>
      <c r="F638" t="s">
        <v>110</v>
      </c>
      <c r="G638" t="s">
        <v>111</v>
      </c>
      <c r="H638" t="s">
        <v>38</v>
      </c>
      <c r="I638" t="s">
        <v>39</v>
      </c>
      <c r="J638" t="s">
        <v>134</v>
      </c>
      <c r="K638">
        <v>3</v>
      </c>
      <c r="L638" s="2">
        <v>2161.33</v>
      </c>
      <c r="M638">
        <v>0.1</v>
      </c>
      <c r="N638">
        <v>463.21</v>
      </c>
    </row>
    <row r="639" spans="1:14" x14ac:dyDescent="0.35">
      <c r="A639" t="s">
        <v>1165</v>
      </c>
      <c r="B639" s="1">
        <v>45889</v>
      </c>
      <c r="C639" t="s">
        <v>452</v>
      </c>
      <c r="D639" t="s">
        <v>16</v>
      </c>
      <c r="E639" t="s">
        <v>35</v>
      </c>
      <c r="F639" t="s">
        <v>128</v>
      </c>
      <c r="G639" t="s">
        <v>354</v>
      </c>
      <c r="H639" t="s">
        <v>20</v>
      </c>
      <c r="I639" t="s">
        <v>65</v>
      </c>
      <c r="J639" t="s">
        <v>142</v>
      </c>
      <c r="K639">
        <v>1</v>
      </c>
      <c r="L639" s="2">
        <v>21145.32</v>
      </c>
      <c r="M639">
        <v>0.1</v>
      </c>
      <c r="N639">
        <v>2814.1</v>
      </c>
    </row>
    <row r="640" spans="1:14" x14ac:dyDescent="0.35">
      <c r="A640" t="s">
        <v>1166</v>
      </c>
      <c r="B640" s="1">
        <v>45890</v>
      </c>
      <c r="C640" t="s">
        <v>647</v>
      </c>
      <c r="D640" t="s">
        <v>1167</v>
      </c>
      <c r="E640" t="s">
        <v>26</v>
      </c>
      <c r="F640" t="s">
        <v>86</v>
      </c>
      <c r="G640" t="s">
        <v>87</v>
      </c>
      <c r="H640" t="s">
        <v>29</v>
      </c>
      <c r="I640" t="s">
        <v>30</v>
      </c>
      <c r="J640" t="s">
        <v>182</v>
      </c>
      <c r="K640">
        <v>1</v>
      </c>
      <c r="L640" s="2">
        <v>31207.5</v>
      </c>
      <c r="M640">
        <v>0.2</v>
      </c>
      <c r="N640">
        <v>3874.02</v>
      </c>
    </row>
    <row r="641" spans="1:14" x14ac:dyDescent="0.35">
      <c r="A641" t="s">
        <v>1168</v>
      </c>
      <c r="B641" s="1">
        <v>45891</v>
      </c>
      <c r="C641" t="s">
        <v>257</v>
      </c>
      <c r="D641" t="s">
        <v>598</v>
      </c>
      <c r="E641" t="s">
        <v>35</v>
      </c>
      <c r="F641" t="s">
        <v>110</v>
      </c>
      <c r="G641" t="s">
        <v>111</v>
      </c>
      <c r="H641" t="s">
        <v>29</v>
      </c>
      <c r="I641" t="s">
        <v>30</v>
      </c>
      <c r="J641" t="s">
        <v>31</v>
      </c>
      <c r="K641">
        <v>5</v>
      </c>
      <c r="L641" s="2">
        <v>78250.92</v>
      </c>
      <c r="M641">
        <v>0.1</v>
      </c>
      <c r="N641">
        <v>4824.07</v>
      </c>
    </row>
    <row r="642" spans="1:14" x14ac:dyDescent="0.35">
      <c r="A642" t="s">
        <v>1169</v>
      </c>
      <c r="B642" s="1">
        <v>45891</v>
      </c>
      <c r="C642" t="s">
        <v>499</v>
      </c>
      <c r="D642" t="s">
        <v>630</v>
      </c>
      <c r="E642" t="s">
        <v>26</v>
      </c>
      <c r="F642" t="s">
        <v>27</v>
      </c>
      <c r="G642" t="s">
        <v>249</v>
      </c>
      <c r="H642" t="s">
        <v>20</v>
      </c>
      <c r="I642" t="s">
        <v>46</v>
      </c>
      <c r="J642" t="s">
        <v>47</v>
      </c>
      <c r="K642">
        <v>1</v>
      </c>
      <c r="L642" s="2">
        <v>5863.74</v>
      </c>
      <c r="M642">
        <v>0.15</v>
      </c>
      <c r="N642">
        <v>481.87</v>
      </c>
    </row>
    <row r="643" spans="1:14" x14ac:dyDescent="0.35">
      <c r="A643" t="s">
        <v>1170</v>
      </c>
      <c r="B643" s="1">
        <v>45891</v>
      </c>
      <c r="C643" t="s">
        <v>192</v>
      </c>
      <c r="D643" t="s">
        <v>1084</v>
      </c>
      <c r="E643" t="s">
        <v>51</v>
      </c>
      <c r="F643" t="s">
        <v>92</v>
      </c>
      <c r="G643" t="s">
        <v>178</v>
      </c>
      <c r="H643" t="s">
        <v>38</v>
      </c>
      <c r="I643" t="s">
        <v>218</v>
      </c>
      <c r="J643" t="s">
        <v>221</v>
      </c>
      <c r="K643">
        <v>1</v>
      </c>
      <c r="L643" s="2">
        <v>164.53</v>
      </c>
      <c r="M643">
        <v>0.05</v>
      </c>
      <c r="N643">
        <v>36.5</v>
      </c>
    </row>
    <row r="644" spans="1:14" x14ac:dyDescent="0.35">
      <c r="A644" t="s">
        <v>1171</v>
      </c>
      <c r="B644" s="1">
        <v>45892</v>
      </c>
      <c r="C644" t="s">
        <v>147</v>
      </c>
      <c r="D644" t="s">
        <v>955</v>
      </c>
      <c r="E644" t="s">
        <v>51</v>
      </c>
      <c r="F644" t="s">
        <v>104</v>
      </c>
      <c r="G644" t="s">
        <v>105</v>
      </c>
      <c r="H644" t="s">
        <v>20</v>
      </c>
      <c r="I644" t="s">
        <v>46</v>
      </c>
      <c r="J644" t="s">
        <v>130</v>
      </c>
      <c r="K644">
        <v>2</v>
      </c>
      <c r="L644" s="2">
        <v>14570.69</v>
      </c>
      <c r="M644">
        <v>0.1</v>
      </c>
      <c r="N644">
        <v>871.52</v>
      </c>
    </row>
    <row r="645" spans="1:14" x14ac:dyDescent="0.35">
      <c r="A645" t="s">
        <v>1172</v>
      </c>
      <c r="B645" s="1">
        <v>45892</v>
      </c>
      <c r="C645" t="s">
        <v>1058</v>
      </c>
      <c r="D645" t="s">
        <v>943</v>
      </c>
      <c r="E645" t="s">
        <v>51</v>
      </c>
      <c r="F645" t="s">
        <v>99</v>
      </c>
      <c r="G645" t="s">
        <v>482</v>
      </c>
      <c r="H645" t="s">
        <v>20</v>
      </c>
      <c r="I645" t="s">
        <v>46</v>
      </c>
      <c r="J645" t="s">
        <v>130</v>
      </c>
      <c r="K645">
        <v>5</v>
      </c>
      <c r="L645" s="2">
        <v>34698.54</v>
      </c>
      <c r="M645">
        <v>0.15</v>
      </c>
      <c r="N645">
        <v>2595.6999999999998</v>
      </c>
    </row>
    <row r="646" spans="1:14" x14ac:dyDescent="0.35">
      <c r="A646" t="s">
        <v>1173</v>
      </c>
      <c r="B646" s="1">
        <v>45892</v>
      </c>
      <c r="C646" t="s">
        <v>1174</v>
      </c>
      <c r="D646" t="s">
        <v>25</v>
      </c>
      <c r="E646" t="s">
        <v>51</v>
      </c>
      <c r="F646" t="s">
        <v>63</v>
      </c>
      <c r="G646" t="s">
        <v>64</v>
      </c>
      <c r="H646" t="s">
        <v>20</v>
      </c>
      <c r="I646" t="s">
        <v>46</v>
      </c>
      <c r="J646" t="s">
        <v>47</v>
      </c>
      <c r="K646">
        <v>2</v>
      </c>
      <c r="L646" s="2">
        <v>11989.78</v>
      </c>
      <c r="M646">
        <v>0.1</v>
      </c>
      <c r="N646">
        <v>1164.28</v>
      </c>
    </row>
    <row r="647" spans="1:14" x14ac:dyDescent="0.35">
      <c r="A647" t="s">
        <v>1175</v>
      </c>
      <c r="B647" s="1">
        <v>45892</v>
      </c>
      <c r="C647" t="s">
        <v>606</v>
      </c>
      <c r="D647" t="s">
        <v>403</v>
      </c>
      <c r="E647" t="s">
        <v>35</v>
      </c>
      <c r="F647" t="s">
        <v>110</v>
      </c>
      <c r="G647" t="s">
        <v>111</v>
      </c>
      <c r="H647" t="s">
        <v>20</v>
      </c>
      <c r="I647" t="s">
        <v>21</v>
      </c>
      <c r="J647" t="s">
        <v>197</v>
      </c>
      <c r="K647">
        <v>7</v>
      </c>
      <c r="L647" s="2">
        <v>73333.72</v>
      </c>
      <c r="M647">
        <v>0.15</v>
      </c>
      <c r="N647">
        <v>8114.77</v>
      </c>
    </row>
    <row r="648" spans="1:14" x14ac:dyDescent="0.35">
      <c r="A648" t="s">
        <v>1176</v>
      </c>
      <c r="B648" s="1">
        <v>45892</v>
      </c>
      <c r="C648" t="s">
        <v>1177</v>
      </c>
      <c r="D648" t="s">
        <v>717</v>
      </c>
      <c r="E648" t="s">
        <v>51</v>
      </c>
      <c r="F648" t="s">
        <v>99</v>
      </c>
      <c r="G648" t="s">
        <v>100</v>
      </c>
      <c r="H648" t="s">
        <v>29</v>
      </c>
      <c r="I648" t="s">
        <v>30</v>
      </c>
      <c r="J648" t="s">
        <v>31</v>
      </c>
      <c r="K648">
        <v>7</v>
      </c>
      <c r="L648" s="2">
        <v>108927.39</v>
      </c>
      <c r="M648">
        <v>0.1</v>
      </c>
      <c r="N648">
        <v>22798.14</v>
      </c>
    </row>
    <row r="649" spans="1:14" x14ac:dyDescent="0.35">
      <c r="A649" t="s">
        <v>1178</v>
      </c>
      <c r="B649" s="1">
        <v>45894</v>
      </c>
      <c r="C649" t="s">
        <v>925</v>
      </c>
      <c r="D649" t="s">
        <v>151</v>
      </c>
      <c r="E649" t="s">
        <v>51</v>
      </c>
      <c r="F649" t="s">
        <v>104</v>
      </c>
      <c r="G649" t="s">
        <v>105</v>
      </c>
      <c r="H649" t="s">
        <v>20</v>
      </c>
      <c r="I649" t="s">
        <v>21</v>
      </c>
      <c r="J649" t="s">
        <v>22</v>
      </c>
      <c r="K649">
        <v>1</v>
      </c>
      <c r="L649" s="2">
        <v>5617.01</v>
      </c>
      <c r="M649">
        <v>0.1</v>
      </c>
      <c r="N649">
        <v>882.3</v>
      </c>
    </row>
    <row r="650" spans="1:14" x14ac:dyDescent="0.35">
      <c r="A650" t="s">
        <v>1179</v>
      </c>
      <c r="B650" s="1">
        <v>45894</v>
      </c>
      <c r="C650" t="s">
        <v>489</v>
      </c>
      <c r="D650" t="s">
        <v>812</v>
      </c>
      <c r="E650" t="s">
        <v>26</v>
      </c>
      <c r="F650" t="s">
        <v>27</v>
      </c>
      <c r="G650" t="s">
        <v>28</v>
      </c>
      <c r="H650" t="s">
        <v>29</v>
      </c>
      <c r="I650" t="s">
        <v>58</v>
      </c>
      <c r="J650" t="s">
        <v>59</v>
      </c>
      <c r="K650">
        <v>1</v>
      </c>
      <c r="L650" s="2">
        <v>917.6</v>
      </c>
      <c r="M650">
        <v>0.05</v>
      </c>
      <c r="N650">
        <v>111.79</v>
      </c>
    </row>
    <row r="651" spans="1:14" x14ac:dyDescent="0.35">
      <c r="A651" t="s">
        <v>1180</v>
      </c>
      <c r="B651" s="1">
        <v>45894</v>
      </c>
      <c r="C651" t="s">
        <v>239</v>
      </c>
      <c r="D651" t="s">
        <v>263</v>
      </c>
      <c r="E651" t="s">
        <v>26</v>
      </c>
      <c r="F651" t="s">
        <v>86</v>
      </c>
      <c r="G651" t="s">
        <v>87</v>
      </c>
      <c r="H651" t="s">
        <v>38</v>
      </c>
      <c r="I651" t="s">
        <v>218</v>
      </c>
      <c r="J651" t="s">
        <v>225</v>
      </c>
      <c r="K651">
        <v>2</v>
      </c>
      <c r="L651" s="2">
        <v>446.01</v>
      </c>
      <c r="M651">
        <v>0.1</v>
      </c>
      <c r="N651">
        <v>20.010000000000002</v>
      </c>
    </row>
    <row r="652" spans="1:14" x14ac:dyDescent="0.35">
      <c r="A652" t="s">
        <v>1181</v>
      </c>
      <c r="B652" s="1">
        <v>45894</v>
      </c>
      <c r="C652" t="s">
        <v>402</v>
      </c>
      <c r="D652" t="s">
        <v>209</v>
      </c>
      <c r="E652" t="s">
        <v>26</v>
      </c>
      <c r="F652" t="s">
        <v>121</v>
      </c>
      <c r="G652" t="s">
        <v>214</v>
      </c>
      <c r="H652" t="s">
        <v>38</v>
      </c>
      <c r="I652" t="s">
        <v>218</v>
      </c>
      <c r="J652" t="s">
        <v>225</v>
      </c>
      <c r="K652">
        <v>4</v>
      </c>
      <c r="L652" s="2">
        <v>950.32</v>
      </c>
      <c r="M652">
        <v>0.1</v>
      </c>
      <c r="N652">
        <v>130.59</v>
      </c>
    </row>
    <row r="653" spans="1:14" x14ac:dyDescent="0.35">
      <c r="A653" t="s">
        <v>1182</v>
      </c>
      <c r="B653" s="1">
        <v>45894</v>
      </c>
      <c r="C653" t="s">
        <v>545</v>
      </c>
      <c r="D653" t="s">
        <v>361</v>
      </c>
      <c r="E653" t="s">
        <v>35</v>
      </c>
      <c r="F653" t="s">
        <v>128</v>
      </c>
      <c r="G653" t="s">
        <v>354</v>
      </c>
      <c r="H653" t="s">
        <v>38</v>
      </c>
      <c r="I653" t="s">
        <v>218</v>
      </c>
      <c r="J653" t="s">
        <v>221</v>
      </c>
      <c r="K653">
        <v>3</v>
      </c>
      <c r="L653" s="2">
        <v>487.79</v>
      </c>
      <c r="M653">
        <v>0.1</v>
      </c>
      <c r="N653">
        <v>51.02</v>
      </c>
    </row>
    <row r="654" spans="1:14" x14ac:dyDescent="0.35">
      <c r="A654" t="s">
        <v>1183</v>
      </c>
      <c r="B654" s="1">
        <v>45894</v>
      </c>
      <c r="C654" t="s">
        <v>1012</v>
      </c>
      <c r="D654" t="s">
        <v>896</v>
      </c>
      <c r="E654" t="s">
        <v>51</v>
      </c>
      <c r="F654" t="s">
        <v>104</v>
      </c>
      <c r="G654" t="s">
        <v>105</v>
      </c>
      <c r="H654" t="s">
        <v>20</v>
      </c>
      <c r="I654" t="s">
        <v>46</v>
      </c>
      <c r="J654" t="s">
        <v>130</v>
      </c>
      <c r="K654">
        <v>3</v>
      </c>
      <c r="L654" s="2">
        <v>24914.99</v>
      </c>
      <c r="M654">
        <v>0.05</v>
      </c>
      <c r="N654">
        <v>3782.89</v>
      </c>
    </row>
    <row r="655" spans="1:14" x14ac:dyDescent="0.35">
      <c r="A655" t="s">
        <v>1184</v>
      </c>
      <c r="B655" s="1">
        <v>45895</v>
      </c>
      <c r="C655" t="s">
        <v>933</v>
      </c>
      <c r="D655" t="s">
        <v>428</v>
      </c>
      <c r="E655" t="s">
        <v>51</v>
      </c>
      <c r="F655" t="s">
        <v>52</v>
      </c>
      <c r="G655" t="s">
        <v>57</v>
      </c>
      <c r="H655" t="s">
        <v>20</v>
      </c>
      <c r="I655" t="s">
        <v>46</v>
      </c>
      <c r="J655" t="s">
        <v>47</v>
      </c>
      <c r="K655">
        <v>7</v>
      </c>
      <c r="L655" s="2">
        <v>44932.12</v>
      </c>
      <c r="M655">
        <v>0.15</v>
      </c>
      <c r="N655">
        <v>3294.45</v>
      </c>
    </row>
    <row r="656" spans="1:14" x14ac:dyDescent="0.35">
      <c r="A656" t="s">
        <v>1185</v>
      </c>
      <c r="B656" s="1">
        <v>45895</v>
      </c>
      <c r="C656" t="s">
        <v>1012</v>
      </c>
      <c r="D656" t="s">
        <v>467</v>
      </c>
      <c r="E656" t="s">
        <v>26</v>
      </c>
      <c r="F656" t="s">
        <v>27</v>
      </c>
      <c r="G656" t="s">
        <v>249</v>
      </c>
      <c r="H656" t="s">
        <v>20</v>
      </c>
      <c r="I656" t="s">
        <v>65</v>
      </c>
      <c r="J656" t="s">
        <v>142</v>
      </c>
      <c r="K656">
        <v>5</v>
      </c>
      <c r="L656" s="2">
        <v>104030.21</v>
      </c>
      <c r="M656">
        <v>0.05</v>
      </c>
      <c r="N656">
        <v>14382.83</v>
      </c>
    </row>
    <row r="657" spans="1:14" x14ac:dyDescent="0.35">
      <c r="A657" t="s">
        <v>1186</v>
      </c>
      <c r="B657" s="1">
        <v>45895</v>
      </c>
      <c r="C657" t="s">
        <v>497</v>
      </c>
      <c r="D657" t="s">
        <v>955</v>
      </c>
      <c r="E657" t="s">
        <v>35</v>
      </c>
      <c r="F657" t="s">
        <v>110</v>
      </c>
      <c r="G657" t="s">
        <v>111</v>
      </c>
      <c r="H657" t="s">
        <v>38</v>
      </c>
      <c r="I657" t="s">
        <v>78</v>
      </c>
      <c r="J657" t="s">
        <v>307</v>
      </c>
      <c r="K657">
        <v>4</v>
      </c>
      <c r="L657" s="2">
        <v>1896.25</v>
      </c>
      <c r="M657">
        <v>0.1</v>
      </c>
      <c r="N657">
        <v>381.17</v>
      </c>
    </row>
    <row r="658" spans="1:14" x14ac:dyDescent="0.35">
      <c r="A658" t="s">
        <v>1187</v>
      </c>
      <c r="B658" s="1">
        <v>45895</v>
      </c>
      <c r="C658" t="s">
        <v>479</v>
      </c>
      <c r="D658" t="s">
        <v>380</v>
      </c>
      <c r="E658" t="s">
        <v>51</v>
      </c>
      <c r="F658" t="s">
        <v>104</v>
      </c>
      <c r="G658" t="s">
        <v>206</v>
      </c>
      <c r="H658" t="s">
        <v>38</v>
      </c>
      <c r="I658" t="s">
        <v>39</v>
      </c>
      <c r="J658" t="s">
        <v>258</v>
      </c>
      <c r="K658">
        <v>3</v>
      </c>
      <c r="L658" s="2">
        <v>1734.22</v>
      </c>
      <c r="M658">
        <v>0.05</v>
      </c>
      <c r="N658">
        <v>386.97</v>
      </c>
    </row>
    <row r="659" spans="1:14" x14ac:dyDescent="0.35">
      <c r="A659" t="s">
        <v>1188</v>
      </c>
      <c r="B659" s="1">
        <v>45895</v>
      </c>
      <c r="C659" t="s">
        <v>570</v>
      </c>
      <c r="D659" t="s">
        <v>424</v>
      </c>
      <c r="E659" t="s">
        <v>17</v>
      </c>
      <c r="F659" t="s">
        <v>18</v>
      </c>
      <c r="G659" t="s">
        <v>19</v>
      </c>
      <c r="H659" t="s">
        <v>29</v>
      </c>
      <c r="I659" t="s">
        <v>58</v>
      </c>
      <c r="J659" t="s">
        <v>88</v>
      </c>
      <c r="K659">
        <v>5</v>
      </c>
      <c r="L659" s="2">
        <v>12088.51</v>
      </c>
      <c r="M659">
        <v>0.1</v>
      </c>
      <c r="N659">
        <v>2532.4699999999998</v>
      </c>
    </row>
    <row r="660" spans="1:14" x14ac:dyDescent="0.35">
      <c r="A660" t="s">
        <v>1189</v>
      </c>
      <c r="B660" s="1">
        <v>45896</v>
      </c>
      <c r="C660" t="s">
        <v>379</v>
      </c>
      <c r="D660" t="s">
        <v>290</v>
      </c>
      <c r="E660" t="s">
        <v>26</v>
      </c>
      <c r="F660" t="s">
        <v>27</v>
      </c>
      <c r="G660" t="s">
        <v>267</v>
      </c>
      <c r="H660" t="s">
        <v>20</v>
      </c>
      <c r="I660" t="s">
        <v>46</v>
      </c>
      <c r="J660" t="s">
        <v>203</v>
      </c>
      <c r="K660">
        <v>2</v>
      </c>
      <c r="L660" s="2">
        <v>7527.76</v>
      </c>
      <c r="M660">
        <v>0.2</v>
      </c>
      <c r="N660">
        <v>1231.02</v>
      </c>
    </row>
    <row r="661" spans="1:14" x14ac:dyDescent="0.35">
      <c r="A661" t="s">
        <v>1190</v>
      </c>
      <c r="B661" s="1">
        <v>45896</v>
      </c>
      <c r="C661" t="s">
        <v>322</v>
      </c>
      <c r="D661" t="s">
        <v>670</v>
      </c>
      <c r="E661" t="s">
        <v>35</v>
      </c>
      <c r="F661" t="s">
        <v>36</v>
      </c>
      <c r="G661" t="s">
        <v>255</v>
      </c>
      <c r="H661" t="s">
        <v>20</v>
      </c>
      <c r="I661" t="s">
        <v>46</v>
      </c>
      <c r="J661" t="s">
        <v>130</v>
      </c>
      <c r="K661">
        <v>6</v>
      </c>
      <c r="L661" s="2">
        <v>41768.22</v>
      </c>
      <c r="M661">
        <v>0.15</v>
      </c>
      <c r="N661">
        <v>6458.39</v>
      </c>
    </row>
    <row r="662" spans="1:14" x14ac:dyDescent="0.35">
      <c r="A662" t="s">
        <v>1191</v>
      </c>
      <c r="B662" s="1">
        <v>45896</v>
      </c>
      <c r="C662" t="s">
        <v>1116</v>
      </c>
      <c r="D662" t="s">
        <v>431</v>
      </c>
      <c r="E662" t="s">
        <v>51</v>
      </c>
      <c r="F662" t="s">
        <v>104</v>
      </c>
      <c r="G662" t="s">
        <v>206</v>
      </c>
      <c r="H662" t="s">
        <v>38</v>
      </c>
      <c r="I662" t="s">
        <v>78</v>
      </c>
      <c r="J662" t="s">
        <v>79</v>
      </c>
      <c r="K662">
        <v>3</v>
      </c>
      <c r="L662" s="2">
        <v>983.64</v>
      </c>
      <c r="M662">
        <v>0.05</v>
      </c>
      <c r="N662">
        <v>168.84</v>
      </c>
    </row>
    <row r="663" spans="1:14" x14ac:dyDescent="0.35">
      <c r="A663" t="s">
        <v>1192</v>
      </c>
      <c r="B663" s="1">
        <v>45896</v>
      </c>
      <c r="C663" t="s">
        <v>1193</v>
      </c>
      <c r="D663" t="s">
        <v>82</v>
      </c>
      <c r="E663" t="s">
        <v>51</v>
      </c>
      <c r="F663" t="s">
        <v>92</v>
      </c>
      <c r="G663" t="s">
        <v>178</v>
      </c>
      <c r="H663" t="s">
        <v>20</v>
      </c>
      <c r="I663" t="s">
        <v>65</v>
      </c>
      <c r="J663" t="s">
        <v>142</v>
      </c>
      <c r="K663">
        <v>5</v>
      </c>
      <c r="L663" s="2">
        <v>106076.62</v>
      </c>
      <c r="M663">
        <v>0.1</v>
      </c>
      <c r="N663">
        <v>19167.07</v>
      </c>
    </row>
    <row r="664" spans="1:14" x14ac:dyDescent="0.35">
      <c r="A664" t="s">
        <v>1194</v>
      </c>
      <c r="B664" s="1">
        <v>45897</v>
      </c>
      <c r="C664" t="s">
        <v>497</v>
      </c>
      <c r="D664" t="s">
        <v>441</v>
      </c>
      <c r="E664" t="s">
        <v>17</v>
      </c>
      <c r="F664" t="s">
        <v>18</v>
      </c>
      <c r="G664" t="s">
        <v>19</v>
      </c>
      <c r="H664" t="s">
        <v>29</v>
      </c>
      <c r="I664" t="s">
        <v>30</v>
      </c>
      <c r="J664" t="s">
        <v>112</v>
      </c>
      <c r="K664">
        <v>6</v>
      </c>
      <c r="L664" s="2">
        <v>155227</v>
      </c>
      <c r="M664">
        <v>0.05</v>
      </c>
      <c r="N664">
        <v>25459.11</v>
      </c>
    </row>
    <row r="665" spans="1:14" x14ac:dyDescent="0.35">
      <c r="A665" t="s">
        <v>1195</v>
      </c>
      <c r="B665" s="1">
        <v>45897</v>
      </c>
      <c r="C665" t="s">
        <v>1196</v>
      </c>
      <c r="D665" t="s">
        <v>1005</v>
      </c>
      <c r="E665" t="s">
        <v>51</v>
      </c>
      <c r="F665" t="s">
        <v>92</v>
      </c>
      <c r="G665" t="s">
        <v>178</v>
      </c>
      <c r="H665" t="s">
        <v>29</v>
      </c>
      <c r="I665" t="s">
        <v>58</v>
      </c>
      <c r="J665" t="s">
        <v>88</v>
      </c>
      <c r="K665">
        <v>7</v>
      </c>
      <c r="L665" s="2">
        <v>14387.77</v>
      </c>
      <c r="M665">
        <v>0.2</v>
      </c>
      <c r="N665">
        <v>2853.6</v>
      </c>
    </row>
    <row r="666" spans="1:14" x14ac:dyDescent="0.35">
      <c r="A666" t="s">
        <v>1197</v>
      </c>
      <c r="B666" s="1">
        <v>45897</v>
      </c>
      <c r="C666" t="s">
        <v>281</v>
      </c>
      <c r="D666" t="s">
        <v>578</v>
      </c>
      <c r="E666" t="s">
        <v>17</v>
      </c>
      <c r="F666" t="s">
        <v>18</v>
      </c>
      <c r="G666" t="s">
        <v>19</v>
      </c>
      <c r="H666" t="s">
        <v>20</v>
      </c>
      <c r="I666" t="s">
        <v>65</v>
      </c>
      <c r="J666" t="s">
        <v>142</v>
      </c>
      <c r="K666">
        <v>4</v>
      </c>
      <c r="L666" s="2">
        <v>89460.47</v>
      </c>
      <c r="M666">
        <v>0</v>
      </c>
      <c r="N666">
        <v>18256.55</v>
      </c>
    </row>
    <row r="667" spans="1:14" x14ac:dyDescent="0.35">
      <c r="A667" t="s">
        <v>1198</v>
      </c>
      <c r="B667" s="1">
        <v>45898</v>
      </c>
      <c r="C667" t="s">
        <v>126</v>
      </c>
      <c r="D667" t="s">
        <v>761</v>
      </c>
      <c r="E667" t="s">
        <v>35</v>
      </c>
      <c r="F667" t="s">
        <v>110</v>
      </c>
      <c r="G667" t="s">
        <v>111</v>
      </c>
      <c r="H667" t="s">
        <v>29</v>
      </c>
      <c r="I667" t="s">
        <v>94</v>
      </c>
      <c r="J667" t="s">
        <v>106</v>
      </c>
      <c r="K667">
        <v>5</v>
      </c>
      <c r="L667" s="2">
        <v>307295.78000000003</v>
      </c>
      <c r="M667">
        <v>0.15</v>
      </c>
      <c r="N667">
        <v>22307.82</v>
      </c>
    </row>
    <row r="668" spans="1:14" x14ac:dyDescent="0.35">
      <c r="A668" t="s">
        <v>1199</v>
      </c>
      <c r="B668" s="1">
        <v>45898</v>
      </c>
      <c r="C668" t="s">
        <v>124</v>
      </c>
      <c r="D668" t="s">
        <v>500</v>
      </c>
      <c r="E668" t="s">
        <v>51</v>
      </c>
      <c r="F668" t="s">
        <v>52</v>
      </c>
      <c r="G668" t="s">
        <v>53</v>
      </c>
      <c r="H668" t="s">
        <v>29</v>
      </c>
      <c r="I668" t="s">
        <v>58</v>
      </c>
      <c r="J668" t="s">
        <v>88</v>
      </c>
      <c r="K668">
        <v>1</v>
      </c>
      <c r="L668" s="2">
        <v>2405.16</v>
      </c>
      <c r="M668">
        <v>0.05</v>
      </c>
      <c r="N668">
        <v>207.83</v>
      </c>
    </row>
    <row r="669" spans="1:14" x14ac:dyDescent="0.35">
      <c r="A669" t="s">
        <v>1200</v>
      </c>
      <c r="B669" s="1">
        <v>45898</v>
      </c>
      <c r="C669" t="s">
        <v>281</v>
      </c>
      <c r="D669" t="s">
        <v>312</v>
      </c>
      <c r="E669" t="s">
        <v>26</v>
      </c>
      <c r="F669" t="s">
        <v>86</v>
      </c>
      <c r="G669" t="s">
        <v>87</v>
      </c>
      <c r="H669" t="s">
        <v>29</v>
      </c>
      <c r="I669" t="s">
        <v>94</v>
      </c>
      <c r="J669" t="s">
        <v>95</v>
      </c>
      <c r="K669">
        <v>7</v>
      </c>
      <c r="L669" s="2">
        <v>451265.93</v>
      </c>
      <c r="M669">
        <v>0</v>
      </c>
      <c r="N669">
        <v>52872.85</v>
      </c>
    </row>
    <row r="670" spans="1:14" x14ac:dyDescent="0.35">
      <c r="A670" t="s">
        <v>1201</v>
      </c>
      <c r="B670" s="1">
        <v>45898</v>
      </c>
      <c r="C670" t="s">
        <v>257</v>
      </c>
      <c r="D670" t="s">
        <v>287</v>
      </c>
      <c r="E670" t="s">
        <v>17</v>
      </c>
      <c r="F670" t="s">
        <v>76</v>
      </c>
      <c r="G670" t="s">
        <v>77</v>
      </c>
      <c r="H670" t="s">
        <v>29</v>
      </c>
      <c r="I670" t="s">
        <v>30</v>
      </c>
      <c r="J670" t="s">
        <v>112</v>
      </c>
      <c r="K670">
        <v>7</v>
      </c>
      <c r="L670" s="2">
        <v>196572.65</v>
      </c>
      <c r="M670">
        <v>0</v>
      </c>
      <c r="N670">
        <v>32927.75</v>
      </c>
    </row>
    <row r="671" spans="1:14" x14ac:dyDescent="0.35">
      <c r="A671" t="s">
        <v>1202</v>
      </c>
      <c r="B671" s="1">
        <v>45899</v>
      </c>
      <c r="C671" t="s">
        <v>597</v>
      </c>
      <c r="D671" t="s">
        <v>455</v>
      </c>
      <c r="E671" t="s">
        <v>17</v>
      </c>
      <c r="F671" t="s">
        <v>18</v>
      </c>
      <c r="G671" t="s">
        <v>19</v>
      </c>
      <c r="H671" t="s">
        <v>20</v>
      </c>
      <c r="I671" t="s">
        <v>65</v>
      </c>
      <c r="J671" t="s">
        <v>66</v>
      </c>
      <c r="K671">
        <v>7</v>
      </c>
      <c r="L671" s="2">
        <v>62242.52</v>
      </c>
      <c r="M671">
        <v>0.05</v>
      </c>
      <c r="N671">
        <v>4918.37</v>
      </c>
    </row>
    <row r="672" spans="1:14" x14ac:dyDescent="0.35">
      <c r="A672" t="s">
        <v>1203</v>
      </c>
      <c r="B672" s="1">
        <v>45900</v>
      </c>
      <c r="C672" t="s">
        <v>160</v>
      </c>
      <c r="D672" t="s">
        <v>213</v>
      </c>
      <c r="E672" t="s">
        <v>17</v>
      </c>
      <c r="F672" t="s">
        <v>210</v>
      </c>
      <c r="G672" t="s">
        <v>211</v>
      </c>
      <c r="H672" t="s">
        <v>20</v>
      </c>
      <c r="I672" t="s">
        <v>46</v>
      </c>
      <c r="J672" t="s">
        <v>47</v>
      </c>
      <c r="K672">
        <v>2</v>
      </c>
      <c r="L672" s="2">
        <v>13209.84</v>
      </c>
      <c r="M672">
        <v>0.05</v>
      </c>
      <c r="N672">
        <v>1894.29</v>
      </c>
    </row>
    <row r="673" spans="1:14" x14ac:dyDescent="0.35">
      <c r="A673" t="s">
        <v>1204</v>
      </c>
      <c r="B673" s="1">
        <v>45900</v>
      </c>
      <c r="C673" t="s">
        <v>526</v>
      </c>
      <c r="D673" t="s">
        <v>896</v>
      </c>
      <c r="E673" t="s">
        <v>51</v>
      </c>
      <c r="F673" t="s">
        <v>63</v>
      </c>
      <c r="G673" t="s">
        <v>64</v>
      </c>
      <c r="H673" t="s">
        <v>29</v>
      </c>
      <c r="I673" t="s">
        <v>30</v>
      </c>
      <c r="J673" t="s">
        <v>112</v>
      </c>
      <c r="K673">
        <v>6</v>
      </c>
      <c r="L673" s="2">
        <v>157457.9</v>
      </c>
      <c r="M673">
        <v>0.1</v>
      </c>
      <c r="N673">
        <v>25525.21</v>
      </c>
    </row>
    <row r="674" spans="1:14" x14ac:dyDescent="0.35">
      <c r="A674" t="s">
        <v>1205</v>
      </c>
      <c r="B674" s="1">
        <v>45901</v>
      </c>
      <c r="C674" t="s">
        <v>239</v>
      </c>
      <c r="D674" t="s">
        <v>720</v>
      </c>
      <c r="E674" t="s">
        <v>17</v>
      </c>
      <c r="F674" t="s">
        <v>210</v>
      </c>
      <c r="G674" t="s">
        <v>211</v>
      </c>
      <c r="H674" t="s">
        <v>29</v>
      </c>
      <c r="I674" t="s">
        <v>94</v>
      </c>
      <c r="J674" t="s">
        <v>95</v>
      </c>
      <c r="K674">
        <v>1</v>
      </c>
      <c r="L674" s="2">
        <v>56386.99</v>
      </c>
      <c r="M674">
        <v>0.1</v>
      </c>
      <c r="N674">
        <v>9509.4599999999991</v>
      </c>
    </row>
    <row r="675" spans="1:14" x14ac:dyDescent="0.35">
      <c r="A675" t="s">
        <v>1206</v>
      </c>
      <c r="B675" s="1">
        <v>45901</v>
      </c>
      <c r="C675" t="s">
        <v>733</v>
      </c>
      <c r="D675" t="s">
        <v>213</v>
      </c>
      <c r="E675" t="s">
        <v>35</v>
      </c>
      <c r="F675" t="s">
        <v>128</v>
      </c>
      <c r="G675" t="s">
        <v>354</v>
      </c>
      <c r="H675" t="s">
        <v>20</v>
      </c>
      <c r="I675" t="s">
        <v>65</v>
      </c>
      <c r="J675" t="s">
        <v>66</v>
      </c>
      <c r="K675">
        <v>7</v>
      </c>
      <c r="L675" s="2">
        <v>57167.6</v>
      </c>
      <c r="M675">
        <v>0.1</v>
      </c>
      <c r="N675">
        <v>6076.68</v>
      </c>
    </row>
    <row r="676" spans="1:14" x14ac:dyDescent="0.35">
      <c r="A676" t="s">
        <v>1207</v>
      </c>
      <c r="B676" s="1">
        <v>45901</v>
      </c>
      <c r="C676" t="s">
        <v>1208</v>
      </c>
      <c r="D676" t="s">
        <v>601</v>
      </c>
      <c r="E676" t="s">
        <v>17</v>
      </c>
      <c r="F676" t="s">
        <v>76</v>
      </c>
      <c r="G676" t="s">
        <v>77</v>
      </c>
      <c r="H676" t="s">
        <v>38</v>
      </c>
      <c r="I676" t="s">
        <v>39</v>
      </c>
      <c r="J676" t="s">
        <v>258</v>
      </c>
      <c r="K676">
        <v>6</v>
      </c>
      <c r="L676" s="2">
        <v>3434.03</v>
      </c>
      <c r="M676">
        <v>0.15</v>
      </c>
      <c r="N676">
        <v>352.63</v>
      </c>
    </row>
    <row r="677" spans="1:14" x14ac:dyDescent="0.35">
      <c r="A677" t="s">
        <v>1209</v>
      </c>
      <c r="B677" s="1">
        <v>45902</v>
      </c>
      <c r="C677" t="s">
        <v>247</v>
      </c>
      <c r="D677" t="s">
        <v>400</v>
      </c>
      <c r="E677" t="s">
        <v>35</v>
      </c>
      <c r="F677" t="s">
        <v>70</v>
      </c>
      <c r="G677" t="s">
        <v>71</v>
      </c>
      <c r="H677" t="s">
        <v>20</v>
      </c>
      <c r="I677" t="s">
        <v>65</v>
      </c>
      <c r="J677" t="s">
        <v>117</v>
      </c>
      <c r="K677">
        <v>7</v>
      </c>
      <c r="L677" s="2">
        <v>34279.46</v>
      </c>
      <c r="M677">
        <v>0.1</v>
      </c>
      <c r="N677">
        <v>6148.86</v>
      </c>
    </row>
    <row r="678" spans="1:14" x14ac:dyDescent="0.35">
      <c r="A678" t="s">
        <v>1210</v>
      </c>
      <c r="B678" s="1">
        <v>45902</v>
      </c>
      <c r="C678" t="s">
        <v>314</v>
      </c>
      <c r="D678" t="s">
        <v>467</v>
      </c>
      <c r="E678" t="s">
        <v>51</v>
      </c>
      <c r="F678" t="s">
        <v>63</v>
      </c>
      <c r="G678" t="s">
        <v>64</v>
      </c>
      <c r="H678" t="s">
        <v>20</v>
      </c>
      <c r="I678" t="s">
        <v>65</v>
      </c>
      <c r="J678" t="s">
        <v>117</v>
      </c>
      <c r="K678">
        <v>2</v>
      </c>
      <c r="L678" s="2">
        <v>11783.4</v>
      </c>
      <c r="M678">
        <v>0</v>
      </c>
      <c r="N678">
        <v>2184.56</v>
      </c>
    </row>
    <row r="679" spans="1:14" x14ac:dyDescent="0.35">
      <c r="A679" t="s">
        <v>1211</v>
      </c>
      <c r="B679" s="1">
        <v>45902</v>
      </c>
      <c r="C679" t="s">
        <v>265</v>
      </c>
      <c r="D679" t="s">
        <v>1161</v>
      </c>
      <c r="E679" t="s">
        <v>17</v>
      </c>
      <c r="F679" t="s">
        <v>76</v>
      </c>
      <c r="G679" t="s">
        <v>77</v>
      </c>
      <c r="H679" t="s">
        <v>20</v>
      </c>
      <c r="I679" t="s">
        <v>21</v>
      </c>
      <c r="J679" t="s">
        <v>22</v>
      </c>
      <c r="K679">
        <v>2</v>
      </c>
      <c r="L679" s="2">
        <v>11145.93</v>
      </c>
      <c r="M679">
        <v>0.1</v>
      </c>
      <c r="N679">
        <v>1757.92</v>
      </c>
    </row>
    <row r="680" spans="1:14" x14ac:dyDescent="0.35">
      <c r="A680" t="s">
        <v>1212</v>
      </c>
      <c r="B680" s="1">
        <v>45903</v>
      </c>
      <c r="C680" t="s">
        <v>1012</v>
      </c>
      <c r="D680" t="s">
        <v>809</v>
      </c>
      <c r="E680" t="s">
        <v>51</v>
      </c>
      <c r="F680" t="s">
        <v>104</v>
      </c>
      <c r="G680" t="s">
        <v>105</v>
      </c>
      <c r="H680" t="s">
        <v>38</v>
      </c>
      <c r="I680" t="s">
        <v>78</v>
      </c>
      <c r="J680" t="s">
        <v>174</v>
      </c>
      <c r="K680">
        <v>5</v>
      </c>
      <c r="L680" s="2">
        <v>2094.7800000000002</v>
      </c>
      <c r="M680">
        <v>0.05</v>
      </c>
      <c r="N680">
        <v>296.64</v>
      </c>
    </row>
    <row r="681" spans="1:14" x14ac:dyDescent="0.35">
      <c r="A681" t="s">
        <v>1213</v>
      </c>
      <c r="B681" s="1">
        <v>45903</v>
      </c>
      <c r="C681" t="s">
        <v>925</v>
      </c>
      <c r="D681" t="s">
        <v>237</v>
      </c>
      <c r="E681" t="s">
        <v>35</v>
      </c>
      <c r="F681" t="s">
        <v>110</v>
      </c>
      <c r="G681" t="s">
        <v>111</v>
      </c>
      <c r="H681" t="s">
        <v>20</v>
      </c>
      <c r="I681" t="s">
        <v>21</v>
      </c>
      <c r="J681" t="s">
        <v>197</v>
      </c>
      <c r="K681">
        <v>1</v>
      </c>
      <c r="L681" s="2">
        <v>11030.65</v>
      </c>
      <c r="M681">
        <v>0.1</v>
      </c>
      <c r="N681">
        <v>953.27</v>
      </c>
    </row>
    <row r="682" spans="1:14" x14ac:dyDescent="0.35">
      <c r="A682" t="s">
        <v>1214</v>
      </c>
      <c r="B682" s="1">
        <v>45903</v>
      </c>
      <c r="C682" t="s">
        <v>356</v>
      </c>
      <c r="D682" t="s">
        <v>357</v>
      </c>
      <c r="E682" t="s">
        <v>51</v>
      </c>
      <c r="F682" t="s">
        <v>63</v>
      </c>
      <c r="G682" t="s">
        <v>324</v>
      </c>
      <c r="H682" t="s">
        <v>38</v>
      </c>
      <c r="I682" t="s">
        <v>39</v>
      </c>
      <c r="J682" t="s">
        <v>258</v>
      </c>
      <c r="K682">
        <v>1</v>
      </c>
      <c r="L682" s="2">
        <v>570.4</v>
      </c>
      <c r="M682">
        <v>0.15</v>
      </c>
      <c r="N682">
        <v>80.28</v>
      </c>
    </row>
    <row r="683" spans="1:14" x14ac:dyDescent="0.35">
      <c r="A683" t="s">
        <v>1215</v>
      </c>
      <c r="B683" s="1">
        <v>45903</v>
      </c>
      <c r="C683" t="s">
        <v>460</v>
      </c>
      <c r="D683" t="s">
        <v>702</v>
      </c>
      <c r="E683" t="s">
        <v>17</v>
      </c>
      <c r="F683" t="s">
        <v>76</v>
      </c>
      <c r="G683" t="s">
        <v>77</v>
      </c>
      <c r="H683" t="s">
        <v>38</v>
      </c>
      <c r="I683" t="s">
        <v>218</v>
      </c>
      <c r="J683" t="s">
        <v>221</v>
      </c>
      <c r="K683">
        <v>2</v>
      </c>
      <c r="L683" s="2">
        <v>366.79</v>
      </c>
      <c r="M683">
        <v>0.05</v>
      </c>
      <c r="N683">
        <v>75.48</v>
      </c>
    </row>
    <row r="684" spans="1:14" x14ac:dyDescent="0.35">
      <c r="A684" t="s">
        <v>1216</v>
      </c>
      <c r="B684" s="1">
        <v>45904</v>
      </c>
      <c r="C684" t="s">
        <v>15</v>
      </c>
      <c r="D684" t="s">
        <v>1217</v>
      </c>
      <c r="E684" t="s">
        <v>51</v>
      </c>
      <c r="F684" t="s">
        <v>104</v>
      </c>
      <c r="G684" t="s">
        <v>206</v>
      </c>
      <c r="H684" t="s">
        <v>29</v>
      </c>
      <c r="I684" t="s">
        <v>94</v>
      </c>
      <c r="J684" t="s">
        <v>138</v>
      </c>
      <c r="K684">
        <v>2</v>
      </c>
      <c r="L684" s="2">
        <v>86922.79</v>
      </c>
      <c r="M684">
        <v>0.05</v>
      </c>
      <c r="N684">
        <v>17979.11</v>
      </c>
    </row>
    <row r="685" spans="1:14" x14ac:dyDescent="0.35">
      <c r="A685" t="s">
        <v>1218</v>
      </c>
      <c r="B685" s="1">
        <v>45904</v>
      </c>
      <c r="C685" t="s">
        <v>33</v>
      </c>
      <c r="D685" t="s">
        <v>366</v>
      </c>
      <c r="E685" t="s">
        <v>51</v>
      </c>
      <c r="F685" t="s">
        <v>104</v>
      </c>
      <c r="G685" t="s">
        <v>105</v>
      </c>
      <c r="H685" t="s">
        <v>29</v>
      </c>
      <c r="I685" t="s">
        <v>94</v>
      </c>
      <c r="J685" t="s">
        <v>106</v>
      </c>
      <c r="K685">
        <v>6</v>
      </c>
      <c r="L685" s="2">
        <v>421365.1</v>
      </c>
      <c r="M685">
        <v>0.05</v>
      </c>
      <c r="N685">
        <v>89084.07</v>
      </c>
    </row>
    <row r="686" spans="1:14" x14ac:dyDescent="0.35">
      <c r="A686" t="s">
        <v>1219</v>
      </c>
      <c r="B686" s="1">
        <v>45904</v>
      </c>
      <c r="C686" t="s">
        <v>276</v>
      </c>
      <c r="D686" t="s">
        <v>896</v>
      </c>
      <c r="E686" t="s">
        <v>51</v>
      </c>
      <c r="F686" t="s">
        <v>92</v>
      </c>
      <c r="G686" t="s">
        <v>93</v>
      </c>
      <c r="H686" t="s">
        <v>20</v>
      </c>
      <c r="I686" t="s">
        <v>21</v>
      </c>
      <c r="J686" t="s">
        <v>197</v>
      </c>
      <c r="K686">
        <v>5</v>
      </c>
      <c r="L686" s="2">
        <v>48204.25</v>
      </c>
      <c r="M686">
        <v>0.2</v>
      </c>
      <c r="N686">
        <v>3595.58</v>
      </c>
    </row>
    <row r="687" spans="1:14" x14ac:dyDescent="0.35">
      <c r="A687" t="s">
        <v>1220</v>
      </c>
      <c r="B687" s="1">
        <v>45904</v>
      </c>
      <c r="C687" t="s">
        <v>629</v>
      </c>
      <c r="D687" t="s">
        <v>1020</v>
      </c>
      <c r="E687" t="s">
        <v>17</v>
      </c>
      <c r="F687" t="s">
        <v>210</v>
      </c>
      <c r="G687" t="s">
        <v>211</v>
      </c>
      <c r="H687" t="s">
        <v>29</v>
      </c>
      <c r="I687" t="s">
        <v>30</v>
      </c>
      <c r="J687" t="s">
        <v>31</v>
      </c>
      <c r="K687">
        <v>2</v>
      </c>
      <c r="L687" s="2">
        <v>30866.78</v>
      </c>
      <c r="M687">
        <v>0.15</v>
      </c>
      <c r="N687">
        <v>1924.96</v>
      </c>
    </row>
    <row r="688" spans="1:14" x14ac:dyDescent="0.35">
      <c r="A688" t="s">
        <v>1221</v>
      </c>
      <c r="B688" s="1">
        <v>45905</v>
      </c>
      <c r="C688" t="s">
        <v>925</v>
      </c>
      <c r="D688" t="s">
        <v>336</v>
      </c>
      <c r="E688" t="s">
        <v>17</v>
      </c>
      <c r="F688" t="s">
        <v>18</v>
      </c>
      <c r="G688" t="s">
        <v>19</v>
      </c>
      <c r="H688" t="s">
        <v>29</v>
      </c>
      <c r="I688" t="s">
        <v>30</v>
      </c>
      <c r="J688" t="s">
        <v>112</v>
      </c>
      <c r="K688">
        <v>5</v>
      </c>
      <c r="L688" s="2">
        <v>116238.71</v>
      </c>
      <c r="M688">
        <v>0.2</v>
      </c>
      <c r="N688">
        <v>20799.63</v>
      </c>
    </row>
    <row r="689" spans="1:14" x14ac:dyDescent="0.35">
      <c r="A689" t="s">
        <v>1222</v>
      </c>
      <c r="B689" s="1">
        <v>45905</v>
      </c>
      <c r="C689" t="s">
        <v>276</v>
      </c>
      <c r="D689" t="s">
        <v>616</v>
      </c>
      <c r="E689" t="s">
        <v>51</v>
      </c>
      <c r="F689" t="s">
        <v>52</v>
      </c>
      <c r="G689" t="s">
        <v>57</v>
      </c>
      <c r="H689" t="s">
        <v>20</v>
      </c>
      <c r="I689" t="s">
        <v>65</v>
      </c>
      <c r="J689" t="s">
        <v>142</v>
      </c>
      <c r="K689">
        <v>7</v>
      </c>
      <c r="L689" s="2">
        <v>160923.74</v>
      </c>
      <c r="M689">
        <v>0</v>
      </c>
      <c r="N689">
        <v>32401.74</v>
      </c>
    </row>
    <row r="690" spans="1:14" x14ac:dyDescent="0.35">
      <c r="A690" t="s">
        <v>1223</v>
      </c>
      <c r="B690" s="1">
        <v>45905</v>
      </c>
      <c r="C690" t="s">
        <v>303</v>
      </c>
      <c r="D690" t="s">
        <v>614</v>
      </c>
      <c r="E690" t="s">
        <v>51</v>
      </c>
      <c r="F690" t="s">
        <v>52</v>
      </c>
      <c r="G690" t="s">
        <v>57</v>
      </c>
      <c r="H690" t="s">
        <v>38</v>
      </c>
      <c r="I690" t="s">
        <v>218</v>
      </c>
      <c r="J690" t="s">
        <v>219</v>
      </c>
      <c r="K690">
        <v>4</v>
      </c>
      <c r="L690" s="2">
        <v>945.36</v>
      </c>
      <c r="M690">
        <v>0.2</v>
      </c>
      <c r="N690">
        <v>144.35</v>
      </c>
    </row>
    <row r="691" spans="1:14" x14ac:dyDescent="0.35">
      <c r="A691" t="s">
        <v>1224</v>
      </c>
      <c r="B691" s="1">
        <v>45905</v>
      </c>
      <c r="C691" t="s">
        <v>489</v>
      </c>
      <c r="D691" t="s">
        <v>339</v>
      </c>
      <c r="E691" t="s">
        <v>35</v>
      </c>
      <c r="F691" t="s">
        <v>128</v>
      </c>
      <c r="G691" t="s">
        <v>354</v>
      </c>
      <c r="H691" t="s">
        <v>38</v>
      </c>
      <c r="I691" t="s">
        <v>39</v>
      </c>
      <c r="J691" t="s">
        <v>134</v>
      </c>
      <c r="K691">
        <v>2</v>
      </c>
      <c r="L691" s="2">
        <v>1262.5</v>
      </c>
      <c r="M691">
        <v>0.2</v>
      </c>
      <c r="N691">
        <v>205.08</v>
      </c>
    </row>
    <row r="692" spans="1:14" x14ac:dyDescent="0.35">
      <c r="A692" t="s">
        <v>1225</v>
      </c>
      <c r="B692" s="1">
        <v>45906</v>
      </c>
      <c r="C692" t="s">
        <v>640</v>
      </c>
      <c r="D692" t="s">
        <v>165</v>
      </c>
      <c r="E692" t="s">
        <v>51</v>
      </c>
      <c r="F692" t="s">
        <v>52</v>
      </c>
      <c r="G692" t="s">
        <v>57</v>
      </c>
      <c r="H692" t="s">
        <v>29</v>
      </c>
      <c r="I692" t="s">
        <v>30</v>
      </c>
      <c r="J692" t="s">
        <v>182</v>
      </c>
      <c r="K692">
        <v>3</v>
      </c>
      <c r="L692" s="2">
        <v>117830.53</v>
      </c>
      <c r="M692">
        <v>0</v>
      </c>
      <c r="N692">
        <v>7213.81</v>
      </c>
    </row>
    <row r="693" spans="1:14" x14ac:dyDescent="0.35">
      <c r="A693" t="s">
        <v>1226</v>
      </c>
      <c r="B693" s="1">
        <v>45906</v>
      </c>
      <c r="C693" t="s">
        <v>326</v>
      </c>
      <c r="D693" t="s">
        <v>630</v>
      </c>
      <c r="E693" t="s">
        <v>51</v>
      </c>
      <c r="F693" t="s">
        <v>99</v>
      </c>
      <c r="G693" t="s">
        <v>231</v>
      </c>
      <c r="H693" t="s">
        <v>20</v>
      </c>
      <c r="I693" t="s">
        <v>46</v>
      </c>
      <c r="J693" t="s">
        <v>203</v>
      </c>
      <c r="K693">
        <v>4</v>
      </c>
      <c r="L693" s="2">
        <v>20246.599999999999</v>
      </c>
      <c r="M693">
        <v>0</v>
      </c>
      <c r="N693">
        <v>3556.78</v>
      </c>
    </row>
    <row r="694" spans="1:14" x14ac:dyDescent="0.35">
      <c r="A694" t="s">
        <v>1227</v>
      </c>
      <c r="B694" s="1">
        <v>45906</v>
      </c>
      <c r="C694" t="s">
        <v>382</v>
      </c>
      <c r="D694" t="s">
        <v>245</v>
      </c>
      <c r="E694" t="s">
        <v>51</v>
      </c>
      <c r="F694" t="s">
        <v>104</v>
      </c>
      <c r="G694" t="s">
        <v>105</v>
      </c>
      <c r="H694" t="s">
        <v>20</v>
      </c>
      <c r="I694" t="s">
        <v>21</v>
      </c>
      <c r="J694" t="s">
        <v>22</v>
      </c>
      <c r="K694">
        <v>2</v>
      </c>
      <c r="L694" s="2">
        <v>11374.77</v>
      </c>
      <c r="M694">
        <v>0.05</v>
      </c>
      <c r="N694">
        <v>1584.77</v>
      </c>
    </row>
    <row r="695" spans="1:14" x14ac:dyDescent="0.35">
      <c r="A695" t="s">
        <v>1228</v>
      </c>
      <c r="B695" s="1">
        <v>45907</v>
      </c>
      <c r="C695" t="s">
        <v>1229</v>
      </c>
      <c r="D695" t="s">
        <v>287</v>
      </c>
      <c r="E695" t="s">
        <v>35</v>
      </c>
      <c r="F695" t="s">
        <v>70</v>
      </c>
      <c r="G695" t="s">
        <v>71</v>
      </c>
      <c r="H695" t="s">
        <v>20</v>
      </c>
      <c r="I695" t="s">
        <v>21</v>
      </c>
      <c r="J695" t="s">
        <v>72</v>
      </c>
      <c r="K695">
        <v>6</v>
      </c>
      <c r="L695" s="2">
        <v>19308.580000000002</v>
      </c>
      <c r="M695">
        <v>0</v>
      </c>
      <c r="N695">
        <v>4360.6099999999997</v>
      </c>
    </row>
    <row r="696" spans="1:14" x14ac:dyDescent="0.35">
      <c r="A696" t="s">
        <v>1230</v>
      </c>
      <c r="B696" s="1">
        <v>45908</v>
      </c>
      <c r="C696" t="s">
        <v>173</v>
      </c>
      <c r="D696" t="s">
        <v>720</v>
      </c>
      <c r="E696" t="s">
        <v>35</v>
      </c>
      <c r="F696" t="s">
        <v>128</v>
      </c>
      <c r="G696" t="s">
        <v>129</v>
      </c>
      <c r="H696" t="s">
        <v>20</v>
      </c>
      <c r="I696" t="s">
        <v>65</v>
      </c>
      <c r="J696" t="s">
        <v>142</v>
      </c>
      <c r="K696">
        <v>1</v>
      </c>
      <c r="L696" s="2">
        <v>19524.28</v>
      </c>
      <c r="M696">
        <v>0.05</v>
      </c>
      <c r="N696">
        <v>1751.53</v>
      </c>
    </row>
    <row r="697" spans="1:14" x14ac:dyDescent="0.35">
      <c r="A697" t="s">
        <v>1231</v>
      </c>
      <c r="B697" s="1">
        <v>45908</v>
      </c>
      <c r="C697" t="s">
        <v>835</v>
      </c>
      <c r="D697" t="s">
        <v>151</v>
      </c>
      <c r="E697" t="s">
        <v>35</v>
      </c>
      <c r="F697" t="s">
        <v>70</v>
      </c>
      <c r="G697" t="s">
        <v>297</v>
      </c>
      <c r="H697" t="s">
        <v>20</v>
      </c>
      <c r="I697" t="s">
        <v>21</v>
      </c>
      <c r="J697" t="s">
        <v>22</v>
      </c>
      <c r="K697">
        <v>4</v>
      </c>
      <c r="L697" s="2">
        <v>26139.38</v>
      </c>
      <c r="M697">
        <v>0.05</v>
      </c>
      <c r="N697">
        <v>3933.07</v>
      </c>
    </row>
    <row r="698" spans="1:14" x14ac:dyDescent="0.35">
      <c r="A698" t="s">
        <v>1232</v>
      </c>
      <c r="B698" s="1">
        <v>45908</v>
      </c>
      <c r="C698" t="s">
        <v>435</v>
      </c>
      <c r="D698" t="s">
        <v>103</v>
      </c>
      <c r="E698" t="s">
        <v>51</v>
      </c>
      <c r="F698" t="s">
        <v>52</v>
      </c>
      <c r="G698" t="s">
        <v>57</v>
      </c>
      <c r="H698" t="s">
        <v>20</v>
      </c>
      <c r="I698" t="s">
        <v>21</v>
      </c>
      <c r="J698" t="s">
        <v>72</v>
      </c>
      <c r="K698">
        <v>6</v>
      </c>
      <c r="L698" s="2">
        <v>18347.669999999998</v>
      </c>
      <c r="M698">
        <v>0.05</v>
      </c>
      <c r="N698">
        <v>1626.56</v>
      </c>
    </row>
    <row r="699" spans="1:14" x14ac:dyDescent="0.35">
      <c r="A699" t="s">
        <v>1233</v>
      </c>
      <c r="B699" s="1">
        <v>45908</v>
      </c>
      <c r="C699" t="s">
        <v>821</v>
      </c>
      <c r="D699" t="s">
        <v>357</v>
      </c>
      <c r="E699" t="s">
        <v>35</v>
      </c>
      <c r="F699" t="s">
        <v>36</v>
      </c>
      <c r="G699" t="s">
        <v>255</v>
      </c>
      <c r="H699" t="s">
        <v>38</v>
      </c>
      <c r="I699" t="s">
        <v>39</v>
      </c>
      <c r="J699" t="s">
        <v>40</v>
      </c>
      <c r="K699">
        <v>4</v>
      </c>
      <c r="L699" s="2">
        <v>1754.2</v>
      </c>
      <c r="M699">
        <v>0.15</v>
      </c>
      <c r="N699">
        <v>80.540000000000006</v>
      </c>
    </row>
    <row r="700" spans="1:14" x14ac:dyDescent="0.35">
      <c r="A700" t="s">
        <v>1234</v>
      </c>
      <c r="B700" s="1">
        <v>45908</v>
      </c>
      <c r="C700" t="s">
        <v>251</v>
      </c>
      <c r="D700" t="s">
        <v>578</v>
      </c>
      <c r="E700" t="s">
        <v>35</v>
      </c>
      <c r="F700" t="s">
        <v>110</v>
      </c>
      <c r="G700" t="s">
        <v>111</v>
      </c>
      <c r="H700" t="s">
        <v>29</v>
      </c>
      <c r="I700" t="s">
        <v>94</v>
      </c>
      <c r="J700" t="s">
        <v>138</v>
      </c>
      <c r="K700">
        <v>7</v>
      </c>
      <c r="L700" s="2">
        <v>258469.32</v>
      </c>
      <c r="M700">
        <v>0.15</v>
      </c>
      <c r="N700">
        <v>46706.1</v>
      </c>
    </row>
    <row r="701" spans="1:14" x14ac:dyDescent="0.35">
      <c r="A701" t="s">
        <v>1235</v>
      </c>
      <c r="B701" s="1">
        <v>45910</v>
      </c>
      <c r="C701" t="s">
        <v>560</v>
      </c>
      <c r="D701" t="s">
        <v>467</v>
      </c>
      <c r="E701" t="s">
        <v>26</v>
      </c>
      <c r="F701" t="s">
        <v>86</v>
      </c>
      <c r="G701" t="s">
        <v>87</v>
      </c>
      <c r="H701" t="s">
        <v>20</v>
      </c>
      <c r="I701" t="s">
        <v>46</v>
      </c>
      <c r="J701" t="s">
        <v>130</v>
      </c>
      <c r="K701">
        <v>7</v>
      </c>
      <c r="L701" s="2">
        <v>61989.58</v>
      </c>
      <c r="M701">
        <v>0</v>
      </c>
      <c r="N701">
        <v>10617.53</v>
      </c>
    </row>
    <row r="702" spans="1:14" x14ac:dyDescent="0.35">
      <c r="A702" t="s">
        <v>1236</v>
      </c>
      <c r="B702" s="1">
        <v>45910</v>
      </c>
      <c r="C702" t="s">
        <v>257</v>
      </c>
      <c r="D702" t="s">
        <v>512</v>
      </c>
      <c r="E702" t="s">
        <v>26</v>
      </c>
      <c r="F702" t="s">
        <v>86</v>
      </c>
      <c r="G702" t="s">
        <v>87</v>
      </c>
      <c r="H702" t="s">
        <v>20</v>
      </c>
      <c r="I702" t="s">
        <v>21</v>
      </c>
      <c r="J702" t="s">
        <v>72</v>
      </c>
      <c r="K702">
        <v>4</v>
      </c>
      <c r="L702" s="2">
        <v>9449.82</v>
      </c>
      <c r="M702">
        <v>0.2</v>
      </c>
      <c r="N702">
        <v>986.39</v>
      </c>
    </row>
    <row r="703" spans="1:14" x14ac:dyDescent="0.35">
      <c r="A703" t="s">
        <v>1237</v>
      </c>
      <c r="B703" s="1">
        <v>45911</v>
      </c>
      <c r="C703" t="s">
        <v>253</v>
      </c>
      <c r="D703" t="s">
        <v>515</v>
      </c>
      <c r="E703" t="s">
        <v>17</v>
      </c>
      <c r="F703" t="s">
        <v>76</v>
      </c>
      <c r="G703" t="s">
        <v>77</v>
      </c>
      <c r="H703" t="s">
        <v>20</v>
      </c>
      <c r="I703" t="s">
        <v>65</v>
      </c>
      <c r="J703" t="s">
        <v>117</v>
      </c>
      <c r="K703">
        <v>5</v>
      </c>
      <c r="L703" s="2">
        <v>29537.61</v>
      </c>
      <c r="M703">
        <v>0</v>
      </c>
      <c r="N703">
        <v>6650.63</v>
      </c>
    </row>
    <row r="704" spans="1:14" x14ac:dyDescent="0.35">
      <c r="A704" t="s">
        <v>1238</v>
      </c>
      <c r="B704" s="1">
        <v>45912</v>
      </c>
      <c r="C704" t="s">
        <v>999</v>
      </c>
      <c r="D704" t="s">
        <v>1152</v>
      </c>
      <c r="E704" t="s">
        <v>51</v>
      </c>
      <c r="F704" t="s">
        <v>104</v>
      </c>
      <c r="G704" t="s">
        <v>105</v>
      </c>
      <c r="H704" t="s">
        <v>20</v>
      </c>
      <c r="I704" t="s">
        <v>65</v>
      </c>
      <c r="J704" t="s">
        <v>66</v>
      </c>
      <c r="K704">
        <v>3</v>
      </c>
      <c r="L704" s="2">
        <v>28170.34</v>
      </c>
      <c r="M704">
        <v>0.05</v>
      </c>
      <c r="N704">
        <v>3944.02</v>
      </c>
    </row>
    <row r="705" spans="1:14" x14ac:dyDescent="0.35">
      <c r="A705" t="s">
        <v>1239</v>
      </c>
      <c r="B705" s="1">
        <v>45913</v>
      </c>
      <c r="C705" t="s">
        <v>570</v>
      </c>
      <c r="D705" t="s">
        <v>85</v>
      </c>
      <c r="E705" t="s">
        <v>51</v>
      </c>
      <c r="F705" t="s">
        <v>52</v>
      </c>
      <c r="G705" t="s">
        <v>53</v>
      </c>
      <c r="H705" t="s">
        <v>29</v>
      </c>
      <c r="I705" t="s">
        <v>30</v>
      </c>
      <c r="J705" t="s">
        <v>182</v>
      </c>
      <c r="K705">
        <v>2</v>
      </c>
      <c r="L705" s="2">
        <v>80285.38</v>
      </c>
      <c r="M705">
        <v>0</v>
      </c>
      <c r="N705">
        <v>18651.75</v>
      </c>
    </row>
    <row r="706" spans="1:14" x14ac:dyDescent="0.35">
      <c r="A706" t="s">
        <v>1240</v>
      </c>
      <c r="B706" s="1">
        <v>45913</v>
      </c>
      <c r="C706" t="s">
        <v>242</v>
      </c>
      <c r="D706" t="s">
        <v>279</v>
      </c>
      <c r="E706" t="s">
        <v>26</v>
      </c>
      <c r="F706" t="s">
        <v>121</v>
      </c>
      <c r="G706" t="s">
        <v>122</v>
      </c>
      <c r="H706" t="s">
        <v>29</v>
      </c>
      <c r="I706" t="s">
        <v>30</v>
      </c>
      <c r="J706" t="s">
        <v>182</v>
      </c>
      <c r="K706">
        <v>2</v>
      </c>
      <c r="L706" s="2">
        <v>72245.490000000005</v>
      </c>
      <c r="M706">
        <v>0.1</v>
      </c>
      <c r="N706">
        <v>6884.92</v>
      </c>
    </row>
    <row r="707" spans="1:14" x14ac:dyDescent="0.35">
      <c r="A707" t="s">
        <v>1241</v>
      </c>
      <c r="B707" s="1">
        <v>45913</v>
      </c>
      <c r="C707" t="s">
        <v>1177</v>
      </c>
      <c r="D707" t="s">
        <v>515</v>
      </c>
      <c r="E707" t="s">
        <v>26</v>
      </c>
      <c r="F707" t="s">
        <v>44</v>
      </c>
      <c r="G707" t="s">
        <v>116</v>
      </c>
      <c r="H707" t="s">
        <v>38</v>
      </c>
      <c r="I707" t="s">
        <v>39</v>
      </c>
      <c r="J707" t="s">
        <v>134</v>
      </c>
      <c r="K707">
        <v>3</v>
      </c>
      <c r="L707" s="2">
        <v>2087.2600000000002</v>
      </c>
      <c r="M707">
        <v>0</v>
      </c>
      <c r="N707">
        <v>416.56</v>
      </c>
    </row>
    <row r="708" spans="1:14" x14ac:dyDescent="0.35">
      <c r="A708" t="s">
        <v>1242</v>
      </c>
      <c r="B708" s="1">
        <v>45914</v>
      </c>
      <c r="C708" t="s">
        <v>448</v>
      </c>
      <c r="D708" t="s">
        <v>165</v>
      </c>
      <c r="E708" t="s">
        <v>26</v>
      </c>
      <c r="F708" t="s">
        <v>86</v>
      </c>
      <c r="G708" t="s">
        <v>87</v>
      </c>
      <c r="H708" t="s">
        <v>38</v>
      </c>
      <c r="I708" t="s">
        <v>39</v>
      </c>
      <c r="J708" t="s">
        <v>258</v>
      </c>
      <c r="K708">
        <v>1</v>
      </c>
      <c r="L708" s="2">
        <v>643.11</v>
      </c>
      <c r="M708">
        <v>0</v>
      </c>
      <c r="N708">
        <v>79.77</v>
      </c>
    </row>
    <row r="709" spans="1:14" x14ac:dyDescent="0.35">
      <c r="A709" t="s">
        <v>1243</v>
      </c>
      <c r="B709" s="1">
        <v>45914</v>
      </c>
      <c r="C709" t="s">
        <v>331</v>
      </c>
      <c r="D709" t="s">
        <v>245</v>
      </c>
      <c r="E709" t="s">
        <v>35</v>
      </c>
      <c r="F709" t="s">
        <v>70</v>
      </c>
      <c r="G709" t="s">
        <v>297</v>
      </c>
      <c r="H709" t="s">
        <v>38</v>
      </c>
      <c r="I709" t="s">
        <v>218</v>
      </c>
      <c r="J709" t="s">
        <v>221</v>
      </c>
      <c r="K709">
        <v>7</v>
      </c>
      <c r="L709" s="2">
        <v>1223.53</v>
      </c>
      <c r="M709">
        <v>0.05</v>
      </c>
      <c r="N709">
        <v>148.74</v>
      </c>
    </row>
    <row r="710" spans="1:14" x14ac:dyDescent="0.35">
      <c r="A710" t="s">
        <v>1244</v>
      </c>
      <c r="B710" s="1">
        <v>45915</v>
      </c>
      <c r="C710" t="s">
        <v>656</v>
      </c>
      <c r="D710" t="s">
        <v>1161</v>
      </c>
      <c r="E710" t="s">
        <v>26</v>
      </c>
      <c r="F710" t="s">
        <v>86</v>
      </c>
      <c r="G710" t="s">
        <v>87</v>
      </c>
      <c r="H710" t="s">
        <v>20</v>
      </c>
      <c r="I710" t="s">
        <v>46</v>
      </c>
      <c r="J710" t="s">
        <v>130</v>
      </c>
      <c r="K710">
        <v>6</v>
      </c>
      <c r="L710" s="2">
        <v>43655.27</v>
      </c>
      <c r="M710">
        <v>0.2</v>
      </c>
      <c r="N710">
        <v>1212.3599999999999</v>
      </c>
    </row>
    <row r="711" spans="1:14" x14ac:dyDescent="0.35">
      <c r="A711" t="s">
        <v>1245</v>
      </c>
      <c r="B711" s="1">
        <v>45915</v>
      </c>
      <c r="C711" t="s">
        <v>587</v>
      </c>
      <c r="D711" t="s">
        <v>318</v>
      </c>
      <c r="E711" t="s">
        <v>35</v>
      </c>
      <c r="F711" t="s">
        <v>128</v>
      </c>
      <c r="G711" t="s">
        <v>354</v>
      </c>
      <c r="H711" t="s">
        <v>38</v>
      </c>
      <c r="I711" t="s">
        <v>39</v>
      </c>
      <c r="J711" t="s">
        <v>40</v>
      </c>
      <c r="K711">
        <v>1</v>
      </c>
      <c r="L711" s="2">
        <v>459.45</v>
      </c>
      <c r="M711">
        <v>0</v>
      </c>
      <c r="N711">
        <v>80.13</v>
      </c>
    </row>
    <row r="712" spans="1:14" x14ac:dyDescent="0.35">
      <c r="A712" t="s">
        <v>1246</v>
      </c>
      <c r="B712" s="1">
        <v>45915</v>
      </c>
      <c r="C712" t="s">
        <v>1151</v>
      </c>
      <c r="D712" t="s">
        <v>591</v>
      </c>
      <c r="E712" t="s">
        <v>35</v>
      </c>
      <c r="F712" t="s">
        <v>110</v>
      </c>
      <c r="G712" t="s">
        <v>111</v>
      </c>
      <c r="H712" t="s">
        <v>29</v>
      </c>
      <c r="I712" t="s">
        <v>30</v>
      </c>
      <c r="J712" t="s">
        <v>31</v>
      </c>
      <c r="K712">
        <v>6</v>
      </c>
      <c r="L712" s="2">
        <v>90405.67</v>
      </c>
      <c r="M712">
        <v>0.2</v>
      </c>
      <c r="N712">
        <v>12605.3</v>
      </c>
    </row>
    <row r="713" spans="1:14" x14ac:dyDescent="0.35">
      <c r="A713" t="s">
        <v>1247</v>
      </c>
      <c r="B713" s="1">
        <v>45915</v>
      </c>
      <c r="C713" t="s">
        <v>414</v>
      </c>
      <c r="D713" t="s">
        <v>260</v>
      </c>
      <c r="E713" t="s">
        <v>17</v>
      </c>
      <c r="F713" t="s">
        <v>210</v>
      </c>
      <c r="G713" t="s">
        <v>211</v>
      </c>
      <c r="H713" t="s">
        <v>29</v>
      </c>
      <c r="I713" t="s">
        <v>58</v>
      </c>
      <c r="J713" t="s">
        <v>300</v>
      </c>
      <c r="K713">
        <v>3</v>
      </c>
      <c r="L713" s="2">
        <v>4071.27</v>
      </c>
      <c r="M713">
        <v>0.1</v>
      </c>
      <c r="N713">
        <v>793.57</v>
      </c>
    </row>
    <row r="714" spans="1:14" x14ac:dyDescent="0.35">
      <c r="A714" t="s">
        <v>1248</v>
      </c>
      <c r="B714" s="1">
        <v>45915</v>
      </c>
      <c r="C714" t="s">
        <v>1133</v>
      </c>
      <c r="D714" t="s">
        <v>230</v>
      </c>
      <c r="E714" t="s">
        <v>51</v>
      </c>
      <c r="F714" t="s">
        <v>52</v>
      </c>
      <c r="G714" t="s">
        <v>57</v>
      </c>
      <c r="H714" t="s">
        <v>38</v>
      </c>
      <c r="I714" t="s">
        <v>218</v>
      </c>
      <c r="J714" t="s">
        <v>221</v>
      </c>
      <c r="K714">
        <v>2</v>
      </c>
      <c r="L714" s="2">
        <v>363.7</v>
      </c>
      <c r="M714">
        <v>0.05</v>
      </c>
      <c r="N714">
        <v>60.17</v>
      </c>
    </row>
    <row r="715" spans="1:14" x14ac:dyDescent="0.35">
      <c r="A715" t="s">
        <v>1249</v>
      </c>
      <c r="B715" s="1">
        <v>45915</v>
      </c>
      <c r="C715" t="s">
        <v>991</v>
      </c>
      <c r="D715" t="s">
        <v>823</v>
      </c>
      <c r="E715" t="s">
        <v>17</v>
      </c>
      <c r="F715" t="s">
        <v>76</v>
      </c>
      <c r="G715" t="s">
        <v>77</v>
      </c>
      <c r="H715" t="s">
        <v>29</v>
      </c>
      <c r="I715" t="s">
        <v>58</v>
      </c>
      <c r="J715" t="s">
        <v>300</v>
      </c>
      <c r="K715">
        <v>2</v>
      </c>
      <c r="L715" s="2">
        <v>2510.67</v>
      </c>
      <c r="M715">
        <v>0.2</v>
      </c>
      <c r="N715">
        <v>61.08</v>
      </c>
    </row>
    <row r="716" spans="1:14" x14ac:dyDescent="0.35">
      <c r="A716" t="s">
        <v>1250</v>
      </c>
      <c r="B716" s="1">
        <v>45915</v>
      </c>
      <c r="C716" t="s">
        <v>1251</v>
      </c>
      <c r="D716" t="s">
        <v>644</v>
      </c>
      <c r="E716" t="s">
        <v>26</v>
      </c>
      <c r="F716" t="s">
        <v>86</v>
      </c>
      <c r="G716" t="s">
        <v>87</v>
      </c>
      <c r="H716" t="s">
        <v>29</v>
      </c>
      <c r="I716" t="s">
        <v>58</v>
      </c>
      <c r="J716" t="s">
        <v>88</v>
      </c>
      <c r="K716">
        <v>3</v>
      </c>
      <c r="L716" s="2">
        <v>7515.68</v>
      </c>
      <c r="M716">
        <v>0</v>
      </c>
      <c r="N716">
        <v>1552.16</v>
      </c>
    </row>
    <row r="717" spans="1:14" x14ac:dyDescent="0.35">
      <c r="A717" t="s">
        <v>1252</v>
      </c>
      <c r="B717" s="1">
        <v>45916</v>
      </c>
      <c r="C717" t="s">
        <v>454</v>
      </c>
      <c r="D717" t="s">
        <v>730</v>
      </c>
      <c r="E717" t="s">
        <v>26</v>
      </c>
      <c r="F717" t="s">
        <v>86</v>
      </c>
      <c r="G717" t="s">
        <v>87</v>
      </c>
      <c r="H717" t="s">
        <v>29</v>
      </c>
      <c r="I717" t="s">
        <v>30</v>
      </c>
      <c r="J717" t="s">
        <v>182</v>
      </c>
      <c r="K717">
        <v>6</v>
      </c>
      <c r="L717" s="2">
        <v>228046.36</v>
      </c>
      <c r="M717">
        <v>0.1</v>
      </c>
      <c r="N717">
        <v>39904.449999999997</v>
      </c>
    </row>
    <row r="718" spans="1:14" x14ac:dyDescent="0.35">
      <c r="A718" t="s">
        <v>1253</v>
      </c>
      <c r="B718" s="1">
        <v>45917</v>
      </c>
      <c r="C718" t="s">
        <v>176</v>
      </c>
      <c r="D718" t="s">
        <v>329</v>
      </c>
      <c r="E718" t="s">
        <v>17</v>
      </c>
      <c r="F718" t="s">
        <v>185</v>
      </c>
      <c r="G718" t="s">
        <v>186</v>
      </c>
      <c r="H718" t="s">
        <v>29</v>
      </c>
      <c r="I718" t="s">
        <v>30</v>
      </c>
      <c r="J718" t="s">
        <v>31</v>
      </c>
      <c r="K718">
        <v>5</v>
      </c>
      <c r="L718" s="2">
        <v>85267.01</v>
      </c>
      <c r="M718">
        <v>0.05</v>
      </c>
      <c r="N718">
        <v>6312.01</v>
      </c>
    </row>
    <row r="719" spans="1:14" x14ac:dyDescent="0.35">
      <c r="A719" t="s">
        <v>1254</v>
      </c>
      <c r="B719" s="1">
        <v>45917</v>
      </c>
      <c r="C719" t="s">
        <v>760</v>
      </c>
      <c r="D719" t="s">
        <v>115</v>
      </c>
      <c r="E719" t="s">
        <v>26</v>
      </c>
      <c r="F719" t="s">
        <v>86</v>
      </c>
      <c r="G719" t="s">
        <v>87</v>
      </c>
      <c r="H719" t="s">
        <v>38</v>
      </c>
      <c r="I719" t="s">
        <v>218</v>
      </c>
      <c r="J719" t="s">
        <v>221</v>
      </c>
      <c r="K719">
        <v>7</v>
      </c>
      <c r="L719" s="2">
        <v>1197.02</v>
      </c>
      <c r="M719">
        <v>0.1</v>
      </c>
      <c r="N719">
        <v>49.94</v>
      </c>
    </row>
    <row r="720" spans="1:14" x14ac:dyDescent="0.35">
      <c r="A720" t="s">
        <v>1255</v>
      </c>
      <c r="B720" s="1">
        <v>45917</v>
      </c>
      <c r="C720" t="s">
        <v>649</v>
      </c>
      <c r="D720" t="s">
        <v>357</v>
      </c>
      <c r="E720" t="s">
        <v>17</v>
      </c>
      <c r="F720" t="s">
        <v>185</v>
      </c>
      <c r="G720" t="s">
        <v>186</v>
      </c>
      <c r="H720" t="s">
        <v>29</v>
      </c>
      <c r="I720" t="s">
        <v>30</v>
      </c>
      <c r="J720" t="s">
        <v>31</v>
      </c>
      <c r="K720">
        <v>1</v>
      </c>
      <c r="L720" s="2">
        <v>14817.79</v>
      </c>
      <c r="M720">
        <v>0.15</v>
      </c>
      <c r="N720">
        <v>3022.51</v>
      </c>
    </row>
    <row r="721" spans="1:14" x14ac:dyDescent="0.35">
      <c r="A721" t="s">
        <v>1256</v>
      </c>
      <c r="B721" s="1">
        <v>45917</v>
      </c>
      <c r="C721" t="s">
        <v>494</v>
      </c>
      <c r="D721" t="s">
        <v>633</v>
      </c>
      <c r="E721" t="s">
        <v>51</v>
      </c>
      <c r="F721" t="s">
        <v>92</v>
      </c>
      <c r="G721" t="s">
        <v>93</v>
      </c>
      <c r="H721" t="s">
        <v>38</v>
      </c>
      <c r="I721" t="s">
        <v>39</v>
      </c>
      <c r="J721" t="s">
        <v>258</v>
      </c>
      <c r="K721">
        <v>4</v>
      </c>
      <c r="L721" s="2">
        <v>2346.46</v>
      </c>
      <c r="M721">
        <v>0.15</v>
      </c>
      <c r="N721">
        <v>415.08</v>
      </c>
    </row>
    <row r="722" spans="1:14" x14ac:dyDescent="0.35">
      <c r="A722" t="s">
        <v>1257</v>
      </c>
      <c r="B722" s="1">
        <v>45917</v>
      </c>
      <c r="C722" t="s">
        <v>335</v>
      </c>
      <c r="D722" t="s">
        <v>792</v>
      </c>
      <c r="E722" t="s">
        <v>51</v>
      </c>
      <c r="F722" t="s">
        <v>92</v>
      </c>
      <c r="G722" t="s">
        <v>93</v>
      </c>
      <c r="H722" t="s">
        <v>29</v>
      </c>
      <c r="I722" t="s">
        <v>94</v>
      </c>
      <c r="J722" t="s">
        <v>95</v>
      </c>
      <c r="K722">
        <v>3</v>
      </c>
      <c r="L722" s="2">
        <v>191702.55</v>
      </c>
      <c r="M722">
        <v>0</v>
      </c>
      <c r="N722">
        <v>32828.93</v>
      </c>
    </row>
    <row r="723" spans="1:14" x14ac:dyDescent="0.35">
      <c r="A723" t="s">
        <v>1258</v>
      </c>
      <c r="B723" s="1">
        <v>45917</v>
      </c>
      <c r="C723" t="s">
        <v>531</v>
      </c>
      <c r="D723" t="s">
        <v>464</v>
      </c>
      <c r="E723" t="s">
        <v>26</v>
      </c>
      <c r="F723" t="s">
        <v>44</v>
      </c>
      <c r="G723" t="s">
        <v>45</v>
      </c>
      <c r="H723" t="s">
        <v>20</v>
      </c>
      <c r="I723" t="s">
        <v>65</v>
      </c>
      <c r="J723" t="s">
        <v>66</v>
      </c>
      <c r="K723">
        <v>4</v>
      </c>
      <c r="L723" s="2">
        <v>34886.870000000003</v>
      </c>
      <c r="M723">
        <v>0.05</v>
      </c>
      <c r="N723">
        <v>5281.59</v>
      </c>
    </row>
    <row r="724" spans="1:14" x14ac:dyDescent="0.35">
      <c r="A724" t="s">
        <v>1259</v>
      </c>
      <c r="B724" s="1">
        <v>45918</v>
      </c>
      <c r="C724" t="s">
        <v>704</v>
      </c>
      <c r="D724" t="s">
        <v>50</v>
      </c>
      <c r="E724" t="s">
        <v>51</v>
      </c>
      <c r="F724" t="s">
        <v>99</v>
      </c>
      <c r="G724" t="s">
        <v>482</v>
      </c>
      <c r="H724" t="s">
        <v>20</v>
      </c>
      <c r="I724" t="s">
        <v>21</v>
      </c>
      <c r="J724" t="s">
        <v>22</v>
      </c>
      <c r="K724">
        <v>5</v>
      </c>
      <c r="L724" s="2">
        <v>25742.22</v>
      </c>
      <c r="M724">
        <v>0.2</v>
      </c>
      <c r="N724">
        <v>4504.53</v>
      </c>
    </row>
    <row r="725" spans="1:14" x14ac:dyDescent="0.35">
      <c r="A725" t="s">
        <v>1260</v>
      </c>
      <c r="B725" s="1">
        <v>45920</v>
      </c>
      <c r="C725" t="s">
        <v>903</v>
      </c>
      <c r="D725" t="s">
        <v>763</v>
      </c>
      <c r="E725" t="s">
        <v>35</v>
      </c>
      <c r="F725" t="s">
        <v>36</v>
      </c>
      <c r="G725" t="s">
        <v>37</v>
      </c>
      <c r="H725" t="s">
        <v>20</v>
      </c>
      <c r="I725" t="s">
        <v>46</v>
      </c>
      <c r="J725" t="s">
        <v>203</v>
      </c>
      <c r="K725">
        <v>1</v>
      </c>
      <c r="L725" s="2">
        <v>4324.7299999999996</v>
      </c>
      <c r="M725">
        <v>0.1</v>
      </c>
      <c r="N725">
        <v>922.58</v>
      </c>
    </row>
    <row r="726" spans="1:14" x14ac:dyDescent="0.35">
      <c r="A726" t="s">
        <v>1261</v>
      </c>
      <c r="B726" s="1">
        <v>45920</v>
      </c>
      <c r="C726" t="s">
        <v>132</v>
      </c>
      <c r="D726" t="s">
        <v>1161</v>
      </c>
      <c r="E726" t="s">
        <v>17</v>
      </c>
      <c r="F726" t="s">
        <v>210</v>
      </c>
      <c r="G726" t="s">
        <v>211</v>
      </c>
      <c r="H726" t="s">
        <v>20</v>
      </c>
      <c r="I726" t="s">
        <v>46</v>
      </c>
      <c r="J726" t="s">
        <v>47</v>
      </c>
      <c r="K726">
        <v>3</v>
      </c>
      <c r="L726" s="2">
        <v>17678.84</v>
      </c>
      <c r="M726">
        <v>0.2</v>
      </c>
      <c r="N726">
        <v>3040.7</v>
      </c>
    </row>
    <row r="727" spans="1:14" x14ac:dyDescent="0.35">
      <c r="A727" t="s">
        <v>1262</v>
      </c>
      <c r="B727" s="1">
        <v>45920</v>
      </c>
      <c r="C727" t="s">
        <v>489</v>
      </c>
      <c r="D727" t="s">
        <v>739</v>
      </c>
      <c r="E727" t="s">
        <v>26</v>
      </c>
      <c r="F727" t="s">
        <v>44</v>
      </c>
      <c r="G727" t="s">
        <v>116</v>
      </c>
      <c r="H727" t="s">
        <v>38</v>
      </c>
      <c r="I727" t="s">
        <v>218</v>
      </c>
      <c r="J727" t="s">
        <v>219</v>
      </c>
      <c r="K727">
        <v>2</v>
      </c>
      <c r="L727" s="2">
        <v>636.59</v>
      </c>
      <c r="M727">
        <v>0.05</v>
      </c>
      <c r="N727">
        <v>139.65</v>
      </c>
    </row>
    <row r="728" spans="1:14" x14ac:dyDescent="0.35">
      <c r="A728" t="s">
        <v>1263</v>
      </c>
      <c r="B728" s="1">
        <v>45921</v>
      </c>
      <c r="C728" t="s">
        <v>150</v>
      </c>
      <c r="D728" t="s">
        <v>1167</v>
      </c>
      <c r="E728" t="s">
        <v>51</v>
      </c>
      <c r="F728" t="s">
        <v>63</v>
      </c>
      <c r="G728" t="s">
        <v>64</v>
      </c>
      <c r="H728" t="s">
        <v>29</v>
      </c>
      <c r="I728" t="s">
        <v>94</v>
      </c>
      <c r="J728" t="s">
        <v>106</v>
      </c>
      <c r="K728">
        <v>7</v>
      </c>
      <c r="L728" s="2">
        <v>449321.31</v>
      </c>
      <c r="M728">
        <v>0.2</v>
      </c>
      <c r="N728">
        <v>60050.75</v>
      </c>
    </row>
    <row r="729" spans="1:14" x14ac:dyDescent="0.35">
      <c r="A729" t="s">
        <v>1264</v>
      </c>
      <c r="B729" s="1">
        <v>45921</v>
      </c>
      <c r="C729" t="s">
        <v>800</v>
      </c>
      <c r="D729" t="s">
        <v>349</v>
      </c>
      <c r="E729" t="s">
        <v>35</v>
      </c>
      <c r="F729" t="s">
        <v>128</v>
      </c>
      <c r="G729" t="s">
        <v>354</v>
      </c>
      <c r="H729" t="s">
        <v>20</v>
      </c>
      <c r="I729" t="s">
        <v>21</v>
      </c>
      <c r="J729" t="s">
        <v>22</v>
      </c>
      <c r="K729">
        <v>7</v>
      </c>
      <c r="L729" s="2">
        <v>39761.49</v>
      </c>
      <c r="M729">
        <v>0.15</v>
      </c>
      <c r="N729">
        <v>5107.5</v>
      </c>
    </row>
    <row r="730" spans="1:14" x14ac:dyDescent="0.35">
      <c r="A730" t="s">
        <v>1265</v>
      </c>
      <c r="B730" s="1">
        <v>45921</v>
      </c>
      <c r="C730" t="s">
        <v>140</v>
      </c>
      <c r="D730" t="s">
        <v>263</v>
      </c>
      <c r="E730" t="s">
        <v>17</v>
      </c>
      <c r="F730" t="s">
        <v>185</v>
      </c>
      <c r="G730" t="s">
        <v>186</v>
      </c>
      <c r="H730" t="s">
        <v>29</v>
      </c>
      <c r="I730" t="s">
        <v>30</v>
      </c>
      <c r="J730" t="s">
        <v>182</v>
      </c>
      <c r="K730">
        <v>6</v>
      </c>
      <c r="L730" s="2">
        <v>188827.03</v>
      </c>
      <c r="M730">
        <v>0.2</v>
      </c>
      <c r="N730">
        <v>16954.25</v>
      </c>
    </row>
    <row r="731" spans="1:14" x14ac:dyDescent="0.35">
      <c r="A731" t="s">
        <v>1266</v>
      </c>
      <c r="B731" s="1">
        <v>45921</v>
      </c>
      <c r="C731" t="s">
        <v>814</v>
      </c>
      <c r="D731" t="s">
        <v>1078</v>
      </c>
      <c r="E731" t="s">
        <v>51</v>
      </c>
      <c r="F731" t="s">
        <v>92</v>
      </c>
      <c r="G731" t="s">
        <v>93</v>
      </c>
      <c r="H731" t="s">
        <v>20</v>
      </c>
      <c r="I731" t="s">
        <v>65</v>
      </c>
      <c r="J731" t="s">
        <v>117</v>
      </c>
      <c r="K731">
        <v>2</v>
      </c>
      <c r="L731" s="2">
        <v>10893.68</v>
      </c>
      <c r="M731">
        <v>0.05</v>
      </c>
      <c r="N731">
        <v>746.62</v>
      </c>
    </row>
    <row r="732" spans="1:14" x14ac:dyDescent="0.35">
      <c r="A732" t="s">
        <v>1267</v>
      </c>
      <c r="B732" s="1">
        <v>45921</v>
      </c>
      <c r="C732" t="s">
        <v>167</v>
      </c>
      <c r="D732" t="s">
        <v>720</v>
      </c>
      <c r="E732" t="s">
        <v>35</v>
      </c>
      <c r="F732" t="s">
        <v>128</v>
      </c>
      <c r="G732" t="s">
        <v>354</v>
      </c>
      <c r="H732" t="s">
        <v>20</v>
      </c>
      <c r="I732" t="s">
        <v>21</v>
      </c>
      <c r="J732" t="s">
        <v>72</v>
      </c>
      <c r="K732">
        <v>6</v>
      </c>
      <c r="L732" s="2">
        <v>18679.78</v>
      </c>
      <c r="M732">
        <v>0</v>
      </c>
      <c r="N732">
        <v>2196.8000000000002</v>
      </c>
    </row>
    <row r="733" spans="1:14" x14ac:dyDescent="0.35">
      <c r="A733" t="s">
        <v>1268</v>
      </c>
      <c r="B733" s="1">
        <v>45921</v>
      </c>
      <c r="C733" t="s">
        <v>649</v>
      </c>
      <c r="D733" t="s">
        <v>1020</v>
      </c>
      <c r="E733" t="s">
        <v>35</v>
      </c>
      <c r="F733" t="s">
        <v>110</v>
      </c>
      <c r="G733" t="s">
        <v>111</v>
      </c>
      <c r="H733" t="s">
        <v>38</v>
      </c>
      <c r="I733" t="s">
        <v>39</v>
      </c>
      <c r="J733" t="s">
        <v>134</v>
      </c>
      <c r="K733">
        <v>5</v>
      </c>
      <c r="L733" s="2">
        <v>3657.56</v>
      </c>
      <c r="M733">
        <v>0.05</v>
      </c>
      <c r="N733">
        <v>244.98</v>
      </c>
    </row>
    <row r="734" spans="1:14" x14ac:dyDescent="0.35">
      <c r="A734" t="s">
        <v>1269</v>
      </c>
      <c r="B734" s="1">
        <v>45922</v>
      </c>
      <c r="C734" t="s">
        <v>595</v>
      </c>
      <c r="D734" t="s">
        <v>609</v>
      </c>
      <c r="E734" t="s">
        <v>17</v>
      </c>
      <c r="F734" t="s">
        <v>185</v>
      </c>
      <c r="G734" t="s">
        <v>528</v>
      </c>
      <c r="H734" t="s">
        <v>29</v>
      </c>
      <c r="I734" t="s">
        <v>58</v>
      </c>
      <c r="J734" t="s">
        <v>300</v>
      </c>
      <c r="K734">
        <v>2</v>
      </c>
      <c r="L734" s="2">
        <v>3044.49</v>
      </c>
      <c r="M734">
        <v>0</v>
      </c>
      <c r="N734">
        <v>634.79999999999995</v>
      </c>
    </row>
    <row r="735" spans="1:14" x14ac:dyDescent="0.35">
      <c r="A735" t="s">
        <v>1270</v>
      </c>
      <c r="B735" s="1">
        <v>45922</v>
      </c>
      <c r="C735" t="s">
        <v>419</v>
      </c>
      <c r="D735" t="s">
        <v>700</v>
      </c>
      <c r="E735" t="s">
        <v>17</v>
      </c>
      <c r="F735" t="s">
        <v>210</v>
      </c>
      <c r="G735" t="s">
        <v>211</v>
      </c>
      <c r="H735" t="s">
        <v>29</v>
      </c>
      <c r="I735" t="s">
        <v>94</v>
      </c>
      <c r="J735" t="s">
        <v>138</v>
      </c>
      <c r="K735">
        <v>4</v>
      </c>
      <c r="L735" s="2">
        <v>155128.78</v>
      </c>
      <c r="M735">
        <v>0.2</v>
      </c>
      <c r="N735">
        <v>28930.87</v>
      </c>
    </row>
    <row r="736" spans="1:14" x14ac:dyDescent="0.35">
      <c r="A736" t="s">
        <v>1271</v>
      </c>
      <c r="B736" s="1">
        <v>45924</v>
      </c>
      <c r="C736" t="s">
        <v>55</v>
      </c>
      <c r="D736" t="s">
        <v>293</v>
      </c>
      <c r="E736" t="s">
        <v>17</v>
      </c>
      <c r="F736" t="s">
        <v>18</v>
      </c>
      <c r="G736" t="s">
        <v>19</v>
      </c>
      <c r="H736" t="s">
        <v>20</v>
      </c>
      <c r="I736" t="s">
        <v>21</v>
      </c>
      <c r="J736" t="s">
        <v>72</v>
      </c>
      <c r="K736">
        <v>3</v>
      </c>
      <c r="L736" s="2">
        <v>8584.99</v>
      </c>
      <c r="M736">
        <v>0.1</v>
      </c>
      <c r="N736">
        <v>1106.08</v>
      </c>
    </row>
    <row r="737" spans="1:14" x14ac:dyDescent="0.35">
      <c r="A737" t="s">
        <v>1272</v>
      </c>
      <c r="B737" s="1">
        <v>45924</v>
      </c>
      <c r="C737" t="s">
        <v>1159</v>
      </c>
      <c r="D737" t="s">
        <v>561</v>
      </c>
      <c r="E737" t="s">
        <v>51</v>
      </c>
      <c r="F737" t="s">
        <v>63</v>
      </c>
      <c r="G737" t="s">
        <v>64</v>
      </c>
      <c r="H737" t="s">
        <v>38</v>
      </c>
      <c r="I737" t="s">
        <v>39</v>
      </c>
      <c r="J737" t="s">
        <v>134</v>
      </c>
      <c r="K737">
        <v>1</v>
      </c>
      <c r="L737" s="2">
        <v>666.15</v>
      </c>
      <c r="M737">
        <v>0.05</v>
      </c>
      <c r="N737">
        <v>86.2</v>
      </c>
    </row>
    <row r="738" spans="1:14" x14ac:dyDescent="0.35">
      <c r="A738" t="s">
        <v>1273</v>
      </c>
      <c r="B738" s="1">
        <v>45924</v>
      </c>
      <c r="C738" t="s">
        <v>595</v>
      </c>
      <c r="D738" t="s">
        <v>490</v>
      </c>
      <c r="E738" t="s">
        <v>26</v>
      </c>
      <c r="F738" t="s">
        <v>27</v>
      </c>
      <c r="G738" t="s">
        <v>267</v>
      </c>
      <c r="H738" t="s">
        <v>38</v>
      </c>
      <c r="I738" t="s">
        <v>218</v>
      </c>
      <c r="J738" t="s">
        <v>225</v>
      </c>
      <c r="K738">
        <v>5</v>
      </c>
      <c r="L738" s="2">
        <v>1287.3699999999999</v>
      </c>
      <c r="M738">
        <v>0</v>
      </c>
      <c r="N738">
        <v>288.88</v>
      </c>
    </row>
    <row r="739" spans="1:14" x14ac:dyDescent="0.35">
      <c r="A739" t="s">
        <v>1274</v>
      </c>
      <c r="B739" s="1">
        <v>45925</v>
      </c>
      <c r="C739" t="s">
        <v>855</v>
      </c>
      <c r="D739" t="s">
        <v>200</v>
      </c>
      <c r="E739" t="s">
        <v>51</v>
      </c>
      <c r="F739" t="s">
        <v>63</v>
      </c>
      <c r="G739" t="s">
        <v>324</v>
      </c>
      <c r="H739" t="s">
        <v>38</v>
      </c>
      <c r="I739" t="s">
        <v>218</v>
      </c>
      <c r="J739" t="s">
        <v>219</v>
      </c>
      <c r="K739">
        <v>6</v>
      </c>
      <c r="L739" s="2">
        <v>1844.55</v>
      </c>
      <c r="M739">
        <v>0</v>
      </c>
      <c r="N739">
        <v>230.82</v>
      </c>
    </row>
    <row r="740" spans="1:14" x14ac:dyDescent="0.35">
      <c r="A740" t="s">
        <v>1275</v>
      </c>
      <c r="B740" s="1">
        <v>45925</v>
      </c>
      <c r="C740" t="s">
        <v>195</v>
      </c>
      <c r="D740" t="s">
        <v>323</v>
      </c>
      <c r="E740" t="s">
        <v>51</v>
      </c>
      <c r="F740" t="s">
        <v>52</v>
      </c>
      <c r="G740" t="s">
        <v>53</v>
      </c>
      <c r="H740" t="s">
        <v>29</v>
      </c>
      <c r="I740" t="s">
        <v>94</v>
      </c>
      <c r="J740" t="s">
        <v>95</v>
      </c>
      <c r="K740">
        <v>3</v>
      </c>
      <c r="L740" s="2">
        <v>197390.4</v>
      </c>
      <c r="M740">
        <v>0</v>
      </c>
      <c r="N740">
        <v>40604.230000000003</v>
      </c>
    </row>
    <row r="741" spans="1:14" x14ac:dyDescent="0.35">
      <c r="A741" t="s">
        <v>1276</v>
      </c>
      <c r="B741" s="1">
        <v>45925</v>
      </c>
      <c r="C741" t="s">
        <v>494</v>
      </c>
      <c r="D741" t="s">
        <v>168</v>
      </c>
      <c r="E741" t="s">
        <v>51</v>
      </c>
      <c r="F741" t="s">
        <v>104</v>
      </c>
      <c r="G741" t="s">
        <v>105</v>
      </c>
      <c r="H741" t="s">
        <v>20</v>
      </c>
      <c r="I741" t="s">
        <v>65</v>
      </c>
      <c r="J741" t="s">
        <v>117</v>
      </c>
      <c r="K741">
        <v>4</v>
      </c>
      <c r="L741" s="2">
        <v>16996.93</v>
      </c>
      <c r="M741">
        <v>0.2</v>
      </c>
      <c r="N741">
        <v>557.5</v>
      </c>
    </row>
    <row r="742" spans="1:14" x14ac:dyDescent="0.35">
      <c r="A742" t="s">
        <v>1277</v>
      </c>
      <c r="B742" s="1">
        <v>45925</v>
      </c>
      <c r="C742" t="s">
        <v>661</v>
      </c>
      <c r="D742" t="s">
        <v>804</v>
      </c>
      <c r="E742" t="s">
        <v>26</v>
      </c>
      <c r="F742" t="s">
        <v>44</v>
      </c>
      <c r="G742" t="s">
        <v>116</v>
      </c>
      <c r="H742" t="s">
        <v>29</v>
      </c>
      <c r="I742" t="s">
        <v>94</v>
      </c>
      <c r="J742" t="s">
        <v>138</v>
      </c>
      <c r="K742">
        <v>3</v>
      </c>
      <c r="L742" s="2">
        <v>114460.82</v>
      </c>
      <c r="M742">
        <v>0.2</v>
      </c>
      <c r="N742">
        <v>14597.69</v>
      </c>
    </row>
    <row r="743" spans="1:14" x14ac:dyDescent="0.35">
      <c r="A743" t="s">
        <v>1278</v>
      </c>
      <c r="B743" s="1">
        <v>45927</v>
      </c>
      <c r="C743" t="s">
        <v>374</v>
      </c>
      <c r="D743" t="s">
        <v>474</v>
      </c>
      <c r="E743" t="s">
        <v>51</v>
      </c>
      <c r="F743" t="s">
        <v>99</v>
      </c>
      <c r="G743" t="s">
        <v>231</v>
      </c>
      <c r="H743" t="s">
        <v>29</v>
      </c>
      <c r="I743" t="s">
        <v>94</v>
      </c>
      <c r="J743" t="s">
        <v>95</v>
      </c>
      <c r="K743">
        <v>5</v>
      </c>
      <c r="L743" s="2">
        <v>269506.26</v>
      </c>
      <c r="M743">
        <v>0.1</v>
      </c>
      <c r="N743">
        <v>24351.040000000001</v>
      </c>
    </row>
    <row r="744" spans="1:14" x14ac:dyDescent="0.35">
      <c r="A744" t="s">
        <v>1279</v>
      </c>
      <c r="B744" s="1">
        <v>45927</v>
      </c>
      <c r="C744" t="s">
        <v>382</v>
      </c>
      <c r="D744" t="s">
        <v>375</v>
      </c>
      <c r="E744" t="s">
        <v>35</v>
      </c>
      <c r="F744" t="s">
        <v>128</v>
      </c>
      <c r="G744" t="s">
        <v>129</v>
      </c>
      <c r="H744" t="s">
        <v>38</v>
      </c>
      <c r="I744" t="s">
        <v>218</v>
      </c>
      <c r="J744" t="s">
        <v>225</v>
      </c>
      <c r="K744">
        <v>7</v>
      </c>
      <c r="L744" s="2">
        <v>1664.32</v>
      </c>
      <c r="M744">
        <v>0.1</v>
      </c>
      <c r="N744">
        <v>68.040000000000006</v>
      </c>
    </row>
    <row r="745" spans="1:14" x14ac:dyDescent="0.35">
      <c r="A745" t="s">
        <v>1280</v>
      </c>
      <c r="B745" s="1">
        <v>45927</v>
      </c>
      <c r="C745" t="s">
        <v>427</v>
      </c>
      <c r="D745" t="s">
        <v>184</v>
      </c>
      <c r="E745" t="s">
        <v>26</v>
      </c>
      <c r="F745" t="s">
        <v>121</v>
      </c>
      <c r="G745" t="s">
        <v>214</v>
      </c>
      <c r="H745" t="s">
        <v>20</v>
      </c>
      <c r="I745" t="s">
        <v>21</v>
      </c>
      <c r="J745" t="s">
        <v>72</v>
      </c>
      <c r="K745">
        <v>2</v>
      </c>
      <c r="L745" s="2">
        <v>5458.63</v>
      </c>
      <c r="M745">
        <v>0.15</v>
      </c>
      <c r="N745">
        <v>1042.97</v>
      </c>
    </row>
    <row r="746" spans="1:14" x14ac:dyDescent="0.35">
      <c r="A746" t="s">
        <v>1281</v>
      </c>
      <c r="B746" s="1">
        <v>45927</v>
      </c>
      <c r="C746" t="s">
        <v>333</v>
      </c>
      <c r="D746" t="s">
        <v>1078</v>
      </c>
      <c r="E746" t="s">
        <v>26</v>
      </c>
      <c r="F746" t="s">
        <v>27</v>
      </c>
      <c r="G746" t="s">
        <v>267</v>
      </c>
      <c r="H746" t="s">
        <v>20</v>
      </c>
      <c r="I746" t="s">
        <v>46</v>
      </c>
      <c r="J746" t="s">
        <v>47</v>
      </c>
      <c r="K746">
        <v>5</v>
      </c>
      <c r="L746" s="2">
        <v>29798.66</v>
      </c>
      <c r="M746">
        <v>0.2</v>
      </c>
      <c r="N746">
        <v>2046.24</v>
      </c>
    </row>
    <row r="747" spans="1:14" x14ac:dyDescent="0.35">
      <c r="A747" t="s">
        <v>1282</v>
      </c>
      <c r="B747" s="1">
        <v>45927</v>
      </c>
      <c r="C747" t="s">
        <v>487</v>
      </c>
      <c r="D747" t="s">
        <v>270</v>
      </c>
      <c r="E747" t="s">
        <v>26</v>
      </c>
      <c r="F747" t="s">
        <v>44</v>
      </c>
      <c r="G747" t="s">
        <v>116</v>
      </c>
      <c r="H747" t="s">
        <v>38</v>
      </c>
      <c r="I747" t="s">
        <v>39</v>
      </c>
      <c r="J747" t="s">
        <v>40</v>
      </c>
      <c r="K747">
        <v>4</v>
      </c>
      <c r="L747" s="2">
        <v>1806.43</v>
      </c>
      <c r="M747">
        <v>0</v>
      </c>
      <c r="N747">
        <v>220.77</v>
      </c>
    </row>
    <row r="748" spans="1:14" x14ac:dyDescent="0.35">
      <c r="A748" t="s">
        <v>1283</v>
      </c>
      <c r="B748" s="1">
        <v>45928</v>
      </c>
      <c r="C748" t="s">
        <v>816</v>
      </c>
      <c r="D748" t="s">
        <v>461</v>
      </c>
      <c r="E748" t="s">
        <v>17</v>
      </c>
      <c r="F748" t="s">
        <v>18</v>
      </c>
      <c r="G748" t="s">
        <v>19</v>
      </c>
      <c r="H748" t="s">
        <v>29</v>
      </c>
      <c r="I748" t="s">
        <v>58</v>
      </c>
      <c r="J748" t="s">
        <v>88</v>
      </c>
      <c r="K748">
        <v>1</v>
      </c>
      <c r="L748" s="2">
        <v>2447.21</v>
      </c>
      <c r="M748">
        <v>0.05</v>
      </c>
      <c r="N748">
        <v>292.91000000000003</v>
      </c>
    </row>
    <row r="749" spans="1:14" x14ac:dyDescent="0.35">
      <c r="A749" t="s">
        <v>1284</v>
      </c>
      <c r="B749" s="1">
        <v>45928</v>
      </c>
      <c r="C749" t="s">
        <v>399</v>
      </c>
      <c r="D749" t="s">
        <v>1005</v>
      </c>
      <c r="E749" t="s">
        <v>17</v>
      </c>
      <c r="F749" t="s">
        <v>185</v>
      </c>
      <c r="G749" t="s">
        <v>528</v>
      </c>
      <c r="H749" t="s">
        <v>20</v>
      </c>
      <c r="I749" t="s">
        <v>21</v>
      </c>
      <c r="J749" t="s">
        <v>22</v>
      </c>
      <c r="K749">
        <v>6</v>
      </c>
      <c r="L749" s="2">
        <v>39672.019999999997</v>
      </c>
      <c r="M749">
        <v>0</v>
      </c>
      <c r="N749">
        <v>5255.78</v>
      </c>
    </row>
    <row r="750" spans="1:14" x14ac:dyDescent="0.35">
      <c r="A750" t="s">
        <v>1285</v>
      </c>
      <c r="B750" s="1">
        <v>45928</v>
      </c>
      <c r="C750" t="s">
        <v>570</v>
      </c>
      <c r="D750" t="s">
        <v>1033</v>
      </c>
      <c r="E750" t="s">
        <v>26</v>
      </c>
      <c r="F750" t="s">
        <v>86</v>
      </c>
      <c r="G750" t="s">
        <v>87</v>
      </c>
      <c r="H750" t="s">
        <v>38</v>
      </c>
      <c r="I750" t="s">
        <v>39</v>
      </c>
      <c r="J750" t="s">
        <v>40</v>
      </c>
      <c r="K750">
        <v>6</v>
      </c>
      <c r="L750" s="2">
        <v>2630.79</v>
      </c>
      <c r="M750">
        <v>0.1</v>
      </c>
      <c r="N750">
        <v>481.1</v>
      </c>
    </row>
    <row r="751" spans="1:14" x14ac:dyDescent="0.35">
      <c r="A751" t="s">
        <v>1286</v>
      </c>
      <c r="B751" s="1">
        <v>45928</v>
      </c>
      <c r="C751" t="s">
        <v>1064</v>
      </c>
      <c r="D751" t="s">
        <v>838</v>
      </c>
      <c r="E751" t="s">
        <v>17</v>
      </c>
      <c r="F751" t="s">
        <v>18</v>
      </c>
      <c r="G751" t="s">
        <v>19</v>
      </c>
      <c r="H751" t="s">
        <v>20</v>
      </c>
      <c r="I751" t="s">
        <v>46</v>
      </c>
      <c r="J751" t="s">
        <v>130</v>
      </c>
      <c r="K751">
        <v>2</v>
      </c>
      <c r="L751" s="2">
        <v>17675.61</v>
      </c>
      <c r="M751">
        <v>0</v>
      </c>
      <c r="N751">
        <v>3970.27</v>
      </c>
    </row>
    <row r="752" spans="1:14" x14ac:dyDescent="0.35">
      <c r="A752" t="s">
        <v>1287</v>
      </c>
      <c r="B752" s="1">
        <v>45930</v>
      </c>
      <c r="C752" t="s">
        <v>176</v>
      </c>
      <c r="D752" t="s">
        <v>304</v>
      </c>
      <c r="E752" t="s">
        <v>35</v>
      </c>
      <c r="F752" t="s">
        <v>70</v>
      </c>
      <c r="G752" t="s">
        <v>297</v>
      </c>
      <c r="H752" t="s">
        <v>29</v>
      </c>
      <c r="I752" t="s">
        <v>30</v>
      </c>
      <c r="J752" t="s">
        <v>112</v>
      </c>
      <c r="K752">
        <v>3</v>
      </c>
      <c r="L752" s="2">
        <v>83490.59</v>
      </c>
      <c r="M752">
        <v>0</v>
      </c>
      <c r="N752">
        <v>5027.95</v>
      </c>
    </row>
    <row r="753" spans="1:14" x14ac:dyDescent="0.35">
      <c r="A753" t="s">
        <v>1288</v>
      </c>
      <c r="B753" s="1">
        <v>45930</v>
      </c>
      <c r="C753" t="s">
        <v>220</v>
      </c>
      <c r="D753" t="s">
        <v>318</v>
      </c>
      <c r="E753" t="s">
        <v>35</v>
      </c>
      <c r="F753" t="s">
        <v>110</v>
      </c>
      <c r="G753" t="s">
        <v>111</v>
      </c>
      <c r="H753" t="s">
        <v>20</v>
      </c>
      <c r="I753" t="s">
        <v>21</v>
      </c>
      <c r="J753" t="s">
        <v>72</v>
      </c>
      <c r="K753">
        <v>4</v>
      </c>
      <c r="L753" s="2">
        <v>11427.23</v>
      </c>
      <c r="M753">
        <v>0.05</v>
      </c>
      <c r="N753">
        <v>911.51</v>
      </c>
    </row>
    <row r="754" spans="1:14" x14ac:dyDescent="0.35">
      <c r="A754" t="s">
        <v>1289</v>
      </c>
      <c r="B754" s="1">
        <v>45930</v>
      </c>
      <c r="C754" t="s">
        <v>1071</v>
      </c>
      <c r="D754" t="s">
        <v>248</v>
      </c>
      <c r="E754" t="s">
        <v>26</v>
      </c>
      <c r="F754" t="s">
        <v>44</v>
      </c>
      <c r="G754" t="s">
        <v>116</v>
      </c>
      <c r="H754" t="s">
        <v>20</v>
      </c>
      <c r="I754" t="s">
        <v>21</v>
      </c>
      <c r="J754" t="s">
        <v>22</v>
      </c>
      <c r="K754">
        <v>5</v>
      </c>
      <c r="L754" s="2">
        <v>28617.35</v>
      </c>
      <c r="M754">
        <v>0.1</v>
      </c>
      <c r="N754">
        <v>5643.64</v>
      </c>
    </row>
    <row r="755" spans="1:14" x14ac:dyDescent="0.35">
      <c r="A755" t="s">
        <v>1290</v>
      </c>
      <c r="B755" s="1">
        <v>45930</v>
      </c>
      <c r="C755" t="s">
        <v>1291</v>
      </c>
      <c r="D755" t="s">
        <v>361</v>
      </c>
      <c r="E755" t="s">
        <v>51</v>
      </c>
      <c r="F755" t="s">
        <v>99</v>
      </c>
      <c r="G755" t="s">
        <v>231</v>
      </c>
      <c r="H755" t="s">
        <v>29</v>
      </c>
      <c r="I755" t="s">
        <v>30</v>
      </c>
      <c r="J755" t="s">
        <v>112</v>
      </c>
      <c r="K755">
        <v>1</v>
      </c>
      <c r="L755" s="2">
        <v>29399.22</v>
      </c>
      <c r="M755">
        <v>0</v>
      </c>
      <c r="N755">
        <v>3578.21</v>
      </c>
    </row>
    <row r="756" spans="1:14" x14ac:dyDescent="0.35">
      <c r="A756" t="s">
        <v>1292</v>
      </c>
      <c r="B756" s="1">
        <v>45931</v>
      </c>
      <c r="C756" t="s">
        <v>892</v>
      </c>
      <c r="D756" t="s">
        <v>200</v>
      </c>
      <c r="E756" t="s">
        <v>26</v>
      </c>
      <c r="F756" t="s">
        <v>86</v>
      </c>
      <c r="G756" t="s">
        <v>87</v>
      </c>
      <c r="H756" t="s">
        <v>29</v>
      </c>
      <c r="I756" t="s">
        <v>58</v>
      </c>
      <c r="J756" t="s">
        <v>88</v>
      </c>
      <c r="K756">
        <v>6</v>
      </c>
      <c r="L756" s="2">
        <v>13554.13</v>
      </c>
      <c r="M756">
        <v>0.05</v>
      </c>
      <c r="N756">
        <v>2668.62</v>
      </c>
    </row>
    <row r="757" spans="1:14" x14ac:dyDescent="0.35">
      <c r="A757" t="s">
        <v>1293</v>
      </c>
      <c r="B757" s="1">
        <v>45932</v>
      </c>
      <c r="C757" t="s">
        <v>314</v>
      </c>
      <c r="D757" t="s">
        <v>248</v>
      </c>
      <c r="E757" t="s">
        <v>26</v>
      </c>
      <c r="F757" t="s">
        <v>27</v>
      </c>
      <c r="G757" t="s">
        <v>28</v>
      </c>
      <c r="H757" t="s">
        <v>20</v>
      </c>
      <c r="I757" t="s">
        <v>46</v>
      </c>
      <c r="J757" t="s">
        <v>203</v>
      </c>
      <c r="K757">
        <v>6</v>
      </c>
      <c r="L757" s="2">
        <v>27284.95</v>
      </c>
      <c r="M757">
        <v>0.05</v>
      </c>
      <c r="N757">
        <v>6248.65</v>
      </c>
    </row>
    <row r="758" spans="1:14" x14ac:dyDescent="0.35">
      <c r="A758" t="s">
        <v>1294</v>
      </c>
      <c r="B758" s="1">
        <v>45932</v>
      </c>
      <c r="C758" t="s">
        <v>236</v>
      </c>
      <c r="D758" t="s">
        <v>50</v>
      </c>
      <c r="E758" t="s">
        <v>26</v>
      </c>
      <c r="F758" t="s">
        <v>44</v>
      </c>
      <c r="G758" t="s">
        <v>116</v>
      </c>
      <c r="H758" t="s">
        <v>20</v>
      </c>
      <c r="I758" t="s">
        <v>21</v>
      </c>
      <c r="J758" t="s">
        <v>22</v>
      </c>
      <c r="K758">
        <v>1</v>
      </c>
      <c r="L758" s="2">
        <v>6528.4</v>
      </c>
      <c r="M758">
        <v>0</v>
      </c>
      <c r="N758">
        <v>865.02</v>
      </c>
    </row>
    <row r="759" spans="1:14" x14ac:dyDescent="0.35">
      <c r="A759" t="s">
        <v>1295</v>
      </c>
      <c r="B759" s="1">
        <v>45933</v>
      </c>
      <c r="C759" t="s">
        <v>253</v>
      </c>
      <c r="D759" t="s">
        <v>461</v>
      </c>
      <c r="E759" t="s">
        <v>17</v>
      </c>
      <c r="F759" t="s">
        <v>210</v>
      </c>
      <c r="G759" t="s">
        <v>211</v>
      </c>
      <c r="H759" t="s">
        <v>29</v>
      </c>
      <c r="I759" t="s">
        <v>58</v>
      </c>
      <c r="J759" t="s">
        <v>59</v>
      </c>
      <c r="K759">
        <v>6</v>
      </c>
      <c r="L759" s="2">
        <v>5054.16</v>
      </c>
      <c r="M759">
        <v>0</v>
      </c>
      <c r="N759">
        <v>633.78</v>
      </c>
    </row>
    <row r="760" spans="1:14" x14ac:dyDescent="0.35">
      <c r="A760" t="s">
        <v>1296</v>
      </c>
      <c r="B760" s="1">
        <v>45934</v>
      </c>
      <c r="C760" t="s">
        <v>314</v>
      </c>
      <c r="D760" t="s">
        <v>151</v>
      </c>
      <c r="E760" t="s">
        <v>35</v>
      </c>
      <c r="F760" t="s">
        <v>36</v>
      </c>
      <c r="G760" t="s">
        <v>255</v>
      </c>
      <c r="H760" t="s">
        <v>38</v>
      </c>
      <c r="I760" t="s">
        <v>218</v>
      </c>
      <c r="J760" t="s">
        <v>221</v>
      </c>
      <c r="K760">
        <v>7</v>
      </c>
      <c r="L760" s="2">
        <v>1066.19</v>
      </c>
      <c r="M760">
        <v>0.1</v>
      </c>
      <c r="N760">
        <v>224.16</v>
      </c>
    </row>
    <row r="761" spans="1:14" x14ac:dyDescent="0.35">
      <c r="A761" t="s">
        <v>1297</v>
      </c>
      <c r="B761" s="1">
        <v>45934</v>
      </c>
      <c r="C761" t="s">
        <v>220</v>
      </c>
      <c r="D761" t="s">
        <v>500</v>
      </c>
      <c r="E761" t="s">
        <v>26</v>
      </c>
      <c r="F761" t="s">
        <v>27</v>
      </c>
      <c r="G761" t="s">
        <v>267</v>
      </c>
      <c r="H761" t="s">
        <v>29</v>
      </c>
      <c r="I761" t="s">
        <v>58</v>
      </c>
      <c r="J761" t="s">
        <v>88</v>
      </c>
      <c r="K761">
        <v>1</v>
      </c>
      <c r="L761" s="2">
        <v>2368.6799999999998</v>
      </c>
      <c r="M761">
        <v>0</v>
      </c>
      <c r="N761">
        <v>185.84</v>
      </c>
    </row>
    <row r="762" spans="1:14" x14ac:dyDescent="0.35">
      <c r="A762" t="s">
        <v>1298</v>
      </c>
      <c r="B762" s="1">
        <v>45935</v>
      </c>
      <c r="C762" t="s">
        <v>389</v>
      </c>
      <c r="D762" t="s">
        <v>190</v>
      </c>
      <c r="E762" t="s">
        <v>51</v>
      </c>
      <c r="F762" t="s">
        <v>92</v>
      </c>
      <c r="G762" t="s">
        <v>178</v>
      </c>
      <c r="H762" t="s">
        <v>29</v>
      </c>
      <c r="I762" t="s">
        <v>30</v>
      </c>
      <c r="J762" t="s">
        <v>112</v>
      </c>
      <c r="K762">
        <v>7</v>
      </c>
      <c r="L762" s="2">
        <v>176651.58</v>
      </c>
      <c r="M762">
        <v>0.05</v>
      </c>
      <c r="N762">
        <v>32798.160000000003</v>
      </c>
    </row>
    <row r="763" spans="1:14" x14ac:dyDescent="0.35">
      <c r="A763" t="s">
        <v>1299</v>
      </c>
      <c r="B763" s="1">
        <v>45935</v>
      </c>
      <c r="C763" t="s">
        <v>1133</v>
      </c>
      <c r="D763" t="s">
        <v>1037</v>
      </c>
      <c r="E763" t="s">
        <v>51</v>
      </c>
      <c r="F763" t="s">
        <v>63</v>
      </c>
      <c r="G763" t="s">
        <v>324</v>
      </c>
      <c r="H763" t="s">
        <v>29</v>
      </c>
      <c r="I763" t="s">
        <v>30</v>
      </c>
      <c r="J763" t="s">
        <v>31</v>
      </c>
      <c r="K763">
        <v>1</v>
      </c>
      <c r="L763" s="2">
        <v>16313.88</v>
      </c>
      <c r="M763">
        <v>0.1</v>
      </c>
      <c r="N763">
        <v>1803.2</v>
      </c>
    </row>
    <row r="764" spans="1:14" x14ac:dyDescent="0.35">
      <c r="A764" t="s">
        <v>1300</v>
      </c>
      <c r="B764" s="1">
        <v>45936</v>
      </c>
      <c r="C764" t="s">
        <v>1301</v>
      </c>
      <c r="D764" t="s">
        <v>224</v>
      </c>
      <c r="E764" t="s">
        <v>26</v>
      </c>
      <c r="F764" t="s">
        <v>44</v>
      </c>
      <c r="G764" t="s">
        <v>116</v>
      </c>
      <c r="H764" t="s">
        <v>29</v>
      </c>
      <c r="I764" t="s">
        <v>30</v>
      </c>
      <c r="J764" t="s">
        <v>182</v>
      </c>
      <c r="K764">
        <v>3</v>
      </c>
      <c r="L764" s="2">
        <v>115029.96</v>
      </c>
      <c r="M764">
        <v>0.1</v>
      </c>
      <c r="N764">
        <v>8755.0400000000009</v>
      </c>
    </row>
    <row r="765" spans="1:14" x14ac:dyDescent="0.35">
      <c r="A765" t="s">
        <v>1302</v>
      </c>
      <c r="B765" s="1">
        <v>45937</v>
      </c>
      <c r="C765" t="s">
        <v>797</v>
      </c>
      <c r="D765" t="s">
        <v>679</v>
      </c>
      <c r="E765" t="s">
        <v>51</v>
      </c>
      <c r="F765" t="s">
        <v>99</v>
      </c>
      <c r="G765" t="s">
        <v>231</v>
      </c>
      <c r="H765" t="s">
        <v>38</v>
      </c>
      <c r="I765" t="s">
        <v>78</v>
      </c>
      <c r="J765" t="s">
        <v>79</v>
      </c>
      <c r="K765">
        <v>6</v>
      </c>
      <c r="L765" s="2">
        <v>1645.1</v>
      </c>
      <c r="M765">
        <v>0.2</v>
      </c>
      <c r="N765">
        <v>37.479999999999997</v>
      </c>
    </row>
    <row r="766" spans="1:14" x14ac:dyDescent="0.35">
      <c r="A766" t="s">
        <v>1303</v>
      </c>
      <c r="B766" s="1">
        <v>45937</v>
      </c>
      <c r="C766" t="s">
        <v>180</v>
      </c>
      <c r="D766" t="s">
        <v>98</v>
      </c>
      <c r="E766" t="s">
        <v>26</v>
      </c>
      <c r="F766" t="s">
        <v>86</v>
      </c>
      <c r="G766" t="s">
        <v>87</v>
      </c>
      <c r="H766" t="s">
        <v>20</v>
      </c>
      <c r="I766" t="s">
        <v>21</v>
      </c>
      <c r="J766" t="s">
        <v>72</v>
      </c>
      <c r="K766">
        <v>2</v>
      </c>
      <c r="L766" s="2">
        <v>5095.91</v>
      </c>
      <c r="M766">
        <v>0.15</v>
      </c>
      <c r="N766">
        <v>272.98</v>
      </c>
    </row>
    <row r="767" spans="1:14" x14ac:dyDescent="0.35">
      <c r="A767" t="s">
        <v>1304</v>
      </c>
      <c r="B767" s="1">
        <v>45937</v>
      </c>
      <c r="C767" t="s">
        <v>853</v>
      </c>
      <c r="D767" t="s">
        <v>492</v>
      </c>
      <c r="E767" t="s">
        <v>26</v>
      </c>
      <c r="F767" t="s">
        <v>44</v>
      </c>
      <c r="G767" t="s">
        <v>116</v>
      </c>
      <c r="H767" t="s">
        <v>20</v>
      </c>
      <c r="I767" t="s">
        <v>46</v>
      </c>
      <c r="J767" t="s">
        <v>47</v>
      </c>
      <c r="K767">
        <v>7</v>
      </c>
      <c r="L767" s="2">
        <v>51080.45</v>
      </c>
      <c r="M767">
        <v>0</v>
      </c>
      <c r="N767">
        <v>5391.27</v>
      </c>
    </row>
    <row r="768" spans="1:14" x14ac:dyDescent="0.35">
      <c r="A768" t="s">
        <v>1305</v>
      </c>
      <c r="B768" s="1">
        <v>45937</v>
      </c>
      <c r="C768" t="s">
        <v>760</v>
      </c>
      <c r="D768" t="s">
        <v>512</v>
      </c>
      <c r="E768" t="s">
        <v>51</v>
      </c>
      <c r="F768" t="s">
        <v>92</v>
      </c>
      <c r="G768" t="s">
        <v>93</v>
      </c>
      <c r="H768" t="s">
        <v>29</v>
      </c>
      <c r="I768" t="s">
        <v>58</v>
      </c>
      <c r="J768" t="s">
        <v>59</v>
      </c>
      <c r="K768">
        <v>3</v>
      </c>
      <c r="L768" s="2">
        <v>2195.6</v>
      </c>
      <c r="M768">
        <v>0.2</v>
      </c>
      <c r="N768">
        <v>361.29</v>
      </c>
    </row>
    <row r="769" spans="1:14" x14ac:dyDescent="0.35">
      <c r="A769" t="s">
        <v>1306</v>
      </c>
      <c r="B769" s="1">
        <v>45937</v>
      </c>
      <c r="C769" t="s">
        <v>251</v>
      </c>
      <c r="D769" t="s">
        <v>692</v>
      </c>
      <c r="E769" t="s">
        <v>26</v>
      </c>
      <c r="F769" t="s">
        <v>27</v>
      </c>
      <c r="G769" t="s">
        <v>267</v>
      </c>
      <c r="H769" t="s">
        <v>29</v>
      </c>
      <c r="I769" t="s">
        <v>30</v>
      </c>
      <c r="J769" t="s">
        <v>112</v>
      </c>
      <c r="K769">
        <v>1</v>
      </c>
      <c r="L769" s="2">
        <v>24355.21</v>
      </c>
      <c r="M769">
        <v>0.1</v>
      </c>
      <c r="N769">
        <v>1698.32</v>
      </c>
    </row>
    <row r="770" spans="1:14" x14ac:dyDescent="0.35">
      <c r="A770" t="s">
        <v>1307</v>
      </c>
      <c r="B770" s="1">
        <v>45938</v>
      </c>
      <c r="C770" t="s">
        <v>472</v>
      </c>
      <c r="D770" t="s">
        <v>400</v>
      </c>
      <c r="E770" t="s">
        <v>26</v>
      </c>
      <c r="F770" t="s">
        <v>27</v>
      </c>
      <c r="G770" t="s">
        <v>249</v>
      </c>
      <c r="H770" t="s">
        <v>38</v>
      </c>
      <c r="I770" t="s">
        <v>218</v>
      </c>
      <c r="J770" t="s">
        <v>219</v>
      </c>
      <c r="K770">
        <v>1</v>
      </c>
      <c r="L770" s="2">
        <v>326.47000000000003</v>
      </c>
      <c r="M770">
        <v>0.05</v>
      </c>
      <c r="N770">
        <v>48.49</v>
      </c>
    </row>
    <row r="771" spans="1:14" x14ac:dyDescent="0.35">
      <c r="A771" t="s">
        <v>1308</v>
      </c>
      <c r="B771" s="1">
        <v>45939</v>
      </c>
      <c r="C771" t="s">
        <v>247</v>
      </c>
      <c r="D771" t="s">
        <v>69</v>
      </c>
      <c r="E771" t="s">
        <v>51</v>
      </c>
      <c r="F771" t="s">
        <v>63</v>
      </c>
      <c r="G771" t="s">
        <v>324</v>
      </c>
      <c r="H771" t="s">
        <v>20</v>
      </c>
      <c r="I771" t="s">
        <v>21</v>
      </c>
      <c r="J771" t="s">
        <v>197</v>
      </c>
      <c r="K771">
        <v>5</v>
      </c>
      <c r="L771" s="2">
        <v>54130.33</v>
      </c>
      <c r="M771">
        <v>0.1</v>
      </c>
      <c r="N771">
        <v>8846.3700000000008</v>
      </c>
    </row>
    <row r="772" spans="1:14" x14ac:dyDescent="0.35">
      <c r="A772" t="s">
        <v>1309</v>
      </c>
      <c r="B772" s="1">
        <v>45939</v>
      </c>
      <c r="C772" t="s">
        <v>766</v>
      </c>
      <c r="D772" t="s">
        <v>1041</v>
      </c>
      <c r="E772" t="s">
        <v>17</v>
      </c>
      <c r="F772" t="s">
        <v>76</v>
      </c>
      <c r="G772" t="s">
        <v>77</v>
      </c>
      <c r="H772" t="s">
        <v>38</v>
      </c>
      <c r="I772" t="s">
        <v>39</v>
      </c>
      <c r="J772" t="s">
        <v>40</v>
      </c>
      <c r="K772">
        <v>5</v>
      </c>
      <c r="L772" s="2">
        <v>2257.84</v>
      </c>
      <c r="M772">
        <v>0</v>
      </c>
      <c r="N772">
        <v>361.77</v>
      </c>
    </row>
    <row r="773" spans="1:14" x14ac:dyDescent="0.35">
      <c r="A773" t="s">
        <v>1310</v>
      </c>
      <c r="B773" s="1">
        <v>45940</v>
      </c>
      <c r="C773" t="s">
        <v>1208</v>
      </c>
      <c r="D773" t="s">
        <v>524</v>
      </c>
      <c r="E773" t="s">
        <v>51</v>
      </c>
      <c r="F773" t="s">
        <v>104</v>
      </c>
      <c r="G773" t="s">
        <v>105</v>
      </c>
      <c r="H773" t="s">
        <v>20</v>
      </c>
      <c r="I773" t="s">
        <v>21</v>
      </c>
      <c r="J773" t="s">
        <v>72</v>
      </c>
      <c r="K773">
        <v>2</v>
      </c>
      <c r="L773" s="2">
        <v>5303.35</v>
      </c>
      <c r="M773">
        <v>0.1</v>
      </c>
      <c r="N773">
        <v>375.14</v>
      </c>
    </row>
    <row r="774" spans="1:14" x14ac:dyDescent="0.35">
      <c r="A774" t="s">
        <v>1311</v>
      </c>
      <c r="B774" s="1">
        <v>45940</v>
      </c>
      <c r="C774" t="s">
        <v>136</v>
      </c>
      <c r="D774" t="s">
        <v>524</v>
      </c>
      <c r="E774" t="s">
        <v>17</v>
      </c>
      <c r="F774" t="s">
        <v>76</v>
      </c>
      <c r="G774" t="s">
        <v>77</v>
      </c>
      <c r="H774" t="s">
        <v>29</v>
      </c>
      <c r="I774" t="s">
        <v>58</v>
      </c>
      <c r="J774" t="s">
        <v>300</v>
      </c>
      <c r="K774">
        <v>5</v>
      </c>
      <c r="L774" s="2">
        <v>7621.15</v>
      </c>
      <c r="M774">
        <v>0</v>
      </c>
      <c r="N774">
        <v>504.32</v>
      </c>
    </row>
    <row r="775" spans="1:14" x14ac:dyDescent="0.35">
      <c r="A775" t="s">
        <v>1312</v>
      </c>
      <c r="B775" s="1">
        <v>45941</v>
      </c>
      <c r="C775" t="s">
        <v>497</v>
      </c>
      <c r="D775" t="s">
        <v>279</v>
      </c>
      <c r="E775" t="s">
        <v>51</v>
      </c>
      <c r="F775" t="s">
        <v>99</v>
      </c>
      <c r="G775" t="s">
        <v>231</v>
      </c>
      <c r="H775" t="s">
        <v>20</v>
      </c>
      <c r="I775" t="s">
        <v>21</v>
      </c>
      <c r="J775" t="s">
        <v>22</v>
      </c>
      <c r="K775">
        <v>2</v>
      </c>
      <c r="L775" s="2">
        <v>9989.09</v>
      </c>
      <c r="M775">
        <v>0.2</v>
      </c>
      <c r="N775">
        <v>1604.35</v>
      </c>
    </row>
    <row r="776" spans="1:14" x14ac:dyDescent="0.35">
      <c r="A776" t="s">
        <v>1313</v>
      </c>
      <c r="B776" s="1">
        <v>45941</v>
      </c>
      <c r="C776" t="s">
        <v>766</v>
      </c>
      <c r="D776" t="s">
        <v>109</v>
      </c>
      <c r="E776" t="s">
        <v>35</v>
      </c>
      <c r="F776" t="s">
        <v>110</v>
      </c>
      <c r="G776" t="s">
        <v>111</v>
      </c>
      <c r="H776" t="s">
        <v>29</v>
      </c>
      <c r="I776" t="s">
        <v>94</v>
      </c>
      <c r="J776" t="s">
        <v>106</v>
      </c>
      <c r="K776">
        <v>2</v>
      </c>
      <c r="L776" s="2">
        <v>139717.16</v>
      </c>
      <c r="M776">
        <v>0.05</v>
      </c>
      <c r="N776">
        <v>14861.63</v>
      </c>
    </row>
    <row r="777" spans="1:14" x14ac:dyDescent="0.35">
      <c r="A777" t="s">
        <v>1314</v>
      </c>
      <c r="B777" s="1">
        <v>45941</v>
      </c>
      <c r="C777" t="s">
        <v>972</v>
      </c>
      <c r="D777" t="s">
        <v>368</v>
      </c>
      <c r="E777" t="s">
        <v>26</v>
      </c>
      <c r="F777" t="s">
        <v>86</v>
      </c>
      <c r="G777" t="s">
        <v>87</v>
      </c>
      <c r="H777" t="s">
        <v>29</v>
      </c>
      <c r="I777" t="s">
        <v>58</v>
      </c>
      <c r="J777" t="s">
        <v>59</v>
      </c>
      <c r="K777">
        <v>2</v>
      </c>
      <c r="L777" s="2">
        <v>1739.78</v>
      </c>
      <c r="M777">
        <v>0.1</v>
      </c>
      <c r="N777">
        <v>103.87</v>
      </c>
    </row>
    <row r="778" spans="1:14" x14ac:dyDescent="0.35">
      <c r="A778" t="s">
        <v>1315</v>
      </c>
      <c r="B778" s="1">
        <v>45942</v>
      </c>
      <c r="C778" t="s">
        <v>1064</v>
      </c>
      <c r="D778" t="s">
        <v>1033</v>
      </c>
      <c r="E778" t="s">
        <v>17</v>
      </c>
      <c r="F778" t="s">
        <v>76</v>
      </c>
      <c r="G778" t="s">
        <v>77</v>
      </c>
      <c r="H778" t="s">
        <v>20</v>
      </c>
      <c r="I778" t="s">
        <v>21</v>
      </c>
      <c r="J778" t="s">
        <v>72</v>
      </c>
      <c r="K778">
        <v>4</v>
      </c>
      <c r="L778" s="2">
        <v>11443.05</v>
      </c>
      <c r="M778">
        <v>0.05</v>
      </c>
      <c r="N778">
        <v>2009.12</v>
      </c>
    </row>
    <row r="779" spans="1:14" x14ac:dyDescent="0.35">
      <c r="A779" t="s">
        <v>1316</v>
      </c>
      <c r="B779" s="1">
        <v>45943</v>
      </c>
      <c r="C779" t="s">
        <v>1317</v>
      </c>
      <c r="D779" t="s">
        <v>200</v>
      </c>
      <c r="E779" t="s">
        <v>51</v>
      </c>
      <c r="F779" t="s">
        <v>104</v>
      </c>
      <c r="G779" t="s">
        <v>105</v>
      </c>
      <c r="H779" t="s">
        <v>38</v>
      </c>
      <c r="I779" t="s">
        <v>39</v>
      </c>
      <c r="J779" t="s">
        <v>134</v>
      </c>
      <c r="K779">
        <v>6</v>
      </c>
      <c r="L779" s="2">
        <v>4277.3</v>
      </c>
      <c r="M779">
        <v>0</v>
      </c>
      <c r="N779">
        <v>284.77999999999997</v>
      </c>
    </row>
    <row r="780" spans="1:14" x14ac:dyDescent="0.35">
      <c r="A780" t="s">
        <v>1318</v>
      </c>
      <c r="B780" s="1">
        <v>45943</v>
      </c>
      <c r="C780" t="s">
        <v>999</v>
      </c>
      <c r="D780" t="s">
        <v>85</v>
      </c>
      <c r="E780" t="s">
        <v>26</v>
      </c>
      <c r="F780" t="s">
        <v>86</v>
      </c>
      <c r="G780" t="s">
        <v>87</v>
      </c>
      <c r="H780" t="s">
        <v>38</v>
      </c>
      <c r="I780" t="s">
        <v>218</v>
      </c>
      <c r="J780" t="s">
        <v>225</v>
      </c>
      <c r="K780">
        <v>6</v>
      </c>
      <c r="L780" s="2">
        <v>1358.89</v>
      </c>
      <c r="M780">
        <v>0.15</v>
      </c>
      <c r="N780">
        <v>241.49</v>
      </c>
    </row>
    <row r="781" spans="1:14" x14ac:dyDescent="0.35">
      <c r="A781" t="s">
        <v>1319</v>
      </c>
      <c r="B781" s="1">
        <v>45943</v>
      </c>
      <c r="C781" t="s">
        <v>760</v>
      </c>
      <c r="D781" t="s">
        <v>724</v>
      </c>
      <c r="E781" t="s">
        <v>35</v>
      </c>
      <c r="F781" t="s">
        <v>110</v>
      </c>
      <c r="G781" t="s">
        <v>111</v>
      </c>
      <c r="H781" t="s">
        <v>29</v>
      </c>
      <c r="I781" t="s">
        <v>94</v>
      </c>
      <c r="J781" t="s">
        <v>138</v>
      </c>
      <c r="K781">
        <v>2</v>
      </c>
      <c r="L781" s="2">
        <v>92419.25</v>
      </c>
      <c r="M781">
        <v>0</v>
      </c>
      <c r="N781">
        <v>7763.11</v>
      </c>
    </row>
    <row r="782" spans="1:14" x14ac:dyDescent="0.35">
      <c r="A782" t="s">
        <v>1320</v>
      </c>
      <c r="B782" s="1">
        <v>45944</v>
      </c>
      <c r="C782" t="s">
        <v>1321</v>
      </c>
      <c r="D782" t="s">
        <v>743</v>
      </c>
      <c r="E782" t="s">
        <v>26</v>
      </c>
      <c r="F782" t="s">
        <v>121</v>
      </c>
      <c r="G782" t="s">
        <v>122</v>
      </c>
      <c r="H782" t="s">
        <v>38</v>
      </c>
      <c r="I782" t="s">
        <v>218</v>
      </c>
      <c r="J782" t="s">
        <v>221</v>
      </c>
      <c r="K782">
        <v>7</v>
      </c>
      <c r="L782" s="2">
        <v>1051.49</v>
      </c>
      <c r="M782">
        <v>0.2</v>
      </c>
      <c r="N782">
        <v>113.45</v>
      </c>
    </row>
    <row r="783" spans="1:14" x14ac:dyDescent="0.35">
      <c r="A783" t="s">
        <v>1322</v>
      </c>
      <c r="B783" s="1">
        <v>45944</v>
      </c>
      <c r="C783" t="s">
        <v>502</v>
      </c>
      <c r="D783" t="s">
        <v>467</v>
      </c>
      <c r="E783" t="s">
        <v>35</v>
      </c>
      <c r="F783" t="s">
        <v>70</v>
      </c>
      <c r="G783" t="s">
        <v>71</v>
      </c>
      <c r="H783" t="s">
        <v>29</v>
      </c>
      <c r="I783" t="s">
        <v>30</v>
      </c>
      <c r="J783" t="s">
        <v>31</v>
      </c>
      <c r="K783">
        <v>3</v>
      </c>
      <c r="L783" s="2">
        <v>51863.9</v>
      </c>
      <c r="M783">
        <v>0</v>
      </c>
      <c r="N783">
        <v>6907.99</v>
      </c>
    </row>
    <row r="784" spans="1:14" x14ac:dyDescent="0.35">
      <c r="A784" t="s">
        <v>1323</v>
      </c>
      <c r="B784" s="1">
        <v>45944</v>
      </c>
      <c r="C784" t="s">
        <v>253</v>
      </c>
      <c r="D784" t="s">
        <v>323</v>
      </c>
      <c r="E784" t="s">
        <v>17</v>
      </c>
      <c r="F784" t="s">
        <v>18</v>
      </c>
      <c r="G784" t="s">
        <v>19</v>
      </c>
      <c r="H784" t="s">
        <v>38</v>
      </c>
      <c r="I784" t="s">
        <v>78</v>
      </c>
      <c r="J784" t="s">
        <v>307</v>
      </c>
      <c r="K784">
        <v>4</v>
      </c>
      <c r="L784" s="2">
        <v>2108.48</v>
      </c>
      <c r="M784">
        <v>0</v>
      </c>
      <c r="N784">
        <v>396.02</v>
      </c>
    </row>
    <row r="785" spans="1:14" x14ac:dyDescent="0.35">
      <c r="A785" t="s">
        <v>1324</v>
      </c>
      <c r="B785" s="1">
        <v>45945</v>
      </c>
      <c r="C785" t="s">
        <v>273</v>
      </c>
      <c r="D785" t="s">
        <v>412</v>
      </c>
      <c r="E785" t="s">
        <v>17</v>
      </c>
      <c r="F785" t="s">
        <v>185</v>
      </c>
      <c r="G785" t="s">
        <v>186</v>
      </c>
      <c r="H785" t="s">
        <v>29</v>
      </c>
      <c r="I785" t="s">
        <v>94</v>
      </c>
      <c r="J785" t="s">
        <v>138</v>
      </c>
      <c r="K785">
        <v>6</v>
      </c>
      <c r="L785" s="2">
        <v>247254.99</v>
      </c>
      <c r="M785">
        <v>0.05</v>
      </c>
      <c r="N785">
        <v>21585.599999999999</v>
      </c>
    </row>
    <row r="786" spans="1:14" x14ac:dyDescent="0.35">
      <c r="A786" t="s">
        <v>1325</v>
      </c>
      <c r="B786" s="1">
        <v>45945</v>
      </c>
      <c r="C786" t="s">
        <v>317</v>
      </c>
      <c r="D786" t="s">
        <v>777</v>
      </c>
      <c r="E786" t="s">
        <v>35</v>
      </c>
      <c r="F786" t="s">
        <v>128</v>
      </c>
      <c r="G786" t="s">
        <v>129</v>
      </c>
      <c r="H786" t="s">
        <v>20</v>
      </c>
      <c r="I786" t="s">
        <v>65</v>
      </c>
      <c r="J786" t="s">
        <v>66</v>
      </c>
      <c r="K786">
        <v>2</v>
      </c>
      <c r="L786" s="2">
        <v>18059.66</v>
      </c>
      <c r="M786">
        <v>0.05</v>
      </c>
      <c r="N786">
        <v>3492</v>
      </c>
    </row>
    <row r="787" spans="1:14" x14ac:dyDescent="0.35">
      <c r="A787" t="s">
        <v>1326</v>
      </c>
      <c r="B787" s="1">
        <v>45946</v>
      </c>
      <c r="C787" t="s">
        <v>292</v>
      </c>
      <c r="D787" t="s">
        <v>357</v>
      </c>
      <c r="E787" t="s">
        <v>26</v>
      </c>
      <c r="F787" t="s">
        <v>44</v>
      </c>
      <c r="G787" t="s">
        <v>45</v>
      </c>
      <c r="H787" t="s">
        <v>29</v>
      </c>
      <c r="I787" t="s">
        <v>58</v>
      </c>
      <c r="J787" t="s">
        <v>88</v>
      </c>
      <c r="K787">
        <v>2</v>
      </c>
      <c r="L787" s="2">
        <v>4686.3900000000003</v>
      </c>
      <c r="M787">
        <v>0.1</v>
      </c>
      <c r="N787">
        <v>276.7</v>
      </c>
    </row>
    <row r="788" spans="1:14" x14ac:dyDescent="0.35">
      <c r="A788" t="s">
        <v>1327</v>
      </c>
      <c r="B788" s="1">
        <v>45946</v>
      </c>
      <c r="C788" t="s">
        <v>925</v>
      </c>
      <c r="D788" t="s">
        <v>403</v>
      </c>
      <c r="E788" t="s">
        <v>51</v>
      </c>
      <c r="F788" t="s">
        <v>63</v>
      </c>
      <c r="G788" t="s">
        <v>64</v>
      </c>
      <c r="H788" t="s">
        <v>38</v>
      </c>
      <c r="I788" t="s">
        <v>218</v>
      </c>
      <c r="J788" t="s">
        <v>219</v>
      </c>
      <c r="K788">
        <v>4</v>
      </c>
      <c r="L788" s="2">
        <v>1279.9100000000001</v>
      </c>
      <c r="M788">
        <v>0</v>
      </c>
      <c r="N788">
        <v>252.99</v>
      </c>
    </row>
    <row r="789" spans="1:14" x14ac:dyDescent="0.35">
      <c r="A789" t="s">
        <v>1328</v>
      </c>
      <c r="B789" s="1">
        <v>45946</v>
      </c>
      <c r="C789" t="s">
        <v>1067</v>
      </c>
      <c r="D789" t="s">
        <v>889</v>
      </c>
      <c r="E789" t="s">
        <v>26</v>
      </c>
      <c r="F789" t="s">
        <v>121</v>
      </c>
      <c r="G789" t="s">
        <v>122</v>
      </c>
      <c r="H789" t="s">
        <v>20</v>
      </c>
      <c r="I789" t="s">
        <v>65</v>
      </c>
      <c r="J789" t="s">
        <v>117</v>
      </c>
      <c r="K789">
        <v>5</v>
      </c>
      <c r="L789" s="2">
        <v>24660.58</v>
      </c>
      <c r="M789">
        <v>0.15</v>
      </c>
      <c r="N789">
        <v>1867.19</v>
      </c>
    </row>
    <row r="790" spans="1:14" x14ac:dyDescent="0.35">
      <c r="A790" t="s">
        <v>1329</v>
      </c>
      <c r="B790" s="1">
        <v>45946</v>
      </c>
      <c r="C790" t="s">
        <v>933</v>
      </c>
      <c r="D790" t="s">
        <v>563</v>
      </c>
      <c r="E790" t="s">
        <v>26</v>
      </c>
      <c r="F790" t="s">
        <v>27</v>
      </c>
      <c r="G790" t="s">
        <v>267</v>
      </c>
      <c r="H790" t="s">
        <v>20</v>
      </c>
      <c r="I790" t="s">
        <v>65</v>
      </c>
      <c r="J790" t="s">
        <v>117</v>
      </c>
      <c r="K790">
        <v>3</v>
      </c>
      <c r="L790" s="2">
        <v>13182.12</v>
      </c>
      <c r="M790">
        <v>0.15</v>
      </c>
      <c r="N790">
        <v>2287.87</v>
      </c>
    </row>
    <row r="791" spans="1:14" x14ac:dyDescent="0.35">
      <c r="A791" t="s">
        <v>1330</v>
      </c>
      <c r="B791" s="1">
        <v>45946</v>
      </c>
      <c r="C791" t="s">
        <v>733</v>
      </c>
      <c r="D791" t="s">
        <v>380</v>
      </c>
      <c r="E791" t="s">
        <v>26</v>
      </c>
      <c r="F791" t="s">
        <v>44</v>
      </c>
      <c r="G791" t="s">
        <v>116</v>
      </c>
      <c r="H791" t="s">
        <v>20</v>
      </c>
      <c r="I791" t="s">
        <v>46</v>
      </c>
      <c r="J791" t="s">
        <v>203</v>
      </c>
      <c r="K791">
        <v>7</v>
      </c>
      <c r="L791" s="2">
        <v>34317.89</v>
      </c>
      <c r="M791">
        <v>0</v>
      </c>
      <c r="N791">
        <v>6445.08</v>
      </c>
    </row>
    <row r="792" spans="1:14" x14ac:dyDescent="0.35">
      <c r="A792" t="s">
        <v>1331</v>
      </c>
      <c r="B792" s="1">
        <v>45947</v>
      </c>
      <c r="C792" t="s">
        <v>709</v>
      </c>
      <c r="D792" t="s">
        <v>196</v>
      </c>
      <c r="E792" t="s">
        <v>17</v>
      </c>
      <c r="F792" t="s">
        <v>18</v>
      </c>
      <c r="G792" t="s">
        <v>19</v>
      </c>
      <c r="H792" t="s">
        <v>38</v>
      </c>
      <c r="I792" t="s">
        <v>218</v>
      </c>
      <c r="J792" t="s">
        <v>219</v>
      </c>
      <c r="K792">
        <v>3</v>
      </c>
      <c r="L792" s="2">
        <v>1026.73</v>
      </c>
      <c r="M792">
        <v>0</v>
      </c>
      <c r="N792">
        <v>126.59</v>
      </c>
    </row>
    <row r="793" spans="1:14" x14ac:dyDescent="0.35">
      <c r="A793" t="s">
        <v>1332</v>
      </c>
      <c r="B793" s="1">
        <v>45947</v>
      </c>
      <c r="C793" t="s">
        <v>393</v>
      </c>
      <c r="D793" t="s">
        <v>517</v>
      </c>
      <c r="E793" t="s">
        <v>17</v>
      </c>
      <c r="F793" t="s">
        <v>76</v>
      </c>
      <c r="G793" t="s">
        <v>77</v>
      </c>
      <c r="H793" t="s">
        <v>38</v>
      </c>
      <c r="I793" t="s">
        <v>39</v>
      </c>
      <c r="J793" t="s">
        <v>40</v>
      </c>
      <c r="K793">
        <v>2</v>
      </c>
      <c r="L793" s="2">
        <v>974.8</v>
      </c>
      <c r="M793">
        <v>0.05</v>
      </c>
      <c r="N793">
        <v>112.72</v>
      </c>
    </row>
    <row r="794" spans="1:14" x14ac:dyDescent="0.35">
      <c r="A794" t="s">
        <v>1333</v>
      </c>
      <c r="B794" s="1">
        <v>45947</v>
      </c>
      <c r="C794" t="s">
        <v>874</v>
      </c>
      <c r="D794" t="s">
        <v>812</v>
      </c>
      <c r="E794" t="s">
        <v>17</v>
      </c>
      <c r="F794" t="s">
        <v>185</v>
      </c>
      <c r="G794" t="s">
        <v>186</v>
      </c>
      <c r="H794" t="s">
        <v>29</v>
      </c>
      <c r="I794" t="s">
        <v>94</v>
      </c>
      <c r="J794" t="s">
        <v>95</v>
      </c>
      <c r="K794">
        <v>1</v>
      </c>
      <c r="L794" s="2">
        <v>58562.57</v>
      </c>
      <c r="M794">
        <v>0.1</v>
      </c>
      <c r="N794">
        <v>10777.12</v>
      </c>
    </row>
    <row r="795" spans="1:14" x14ac:dyDescent="0.35">
      <c r="A795" t="s">
        <v>1334</v>
      </c>
      <c r="B795" s="1">
        <v>45948</v>
      </c>
      <c r="C795" t="s">
        <v>632</v>
      </c>
      <c r="D795" t="s">
        <v>213</v>
      </c>
      <c r="E795" t="s">
        <v>35</v>
      </c>
      <c r="F795" t="s">
        <v>110</v>
      </c>
      <c r="G795" t="s">
        <v>111</v>
      </c>
      <c r="H795" t="s">
        <v>20</v>
      </c>
      <c r="I795" t="s">
        <v>65</v>
      </c>
      <c r="J795" t="s">
        <v>66</v>
      </c>
      <c r="K795">
        <v>6</v>
      </c>
      <c r="L795" s="2">
        <v>54182.25</v>
      </c>
      <c r="M795">
        <v>0.1</v>
      </c>
      <c r="N795">
        <v>11506.88</v>
      </c>
    </row>
    <row r="796" spans="1:14" x14ac:dyDescent="0.35">
      <c r="A796" t="s">
        <v>1335</v>
      </c>
      <c r="B796" s="1">
        <v>45948</v>
      </c>
      <c r="C796" t="s">
        <v>979</v>
      </c>
      <c r="D796" t="s">
        <v>439</v>
      </c>
      <c r="E796" t="s">
        <v>51</v>
      </c>
      <c r="F796" t="s">
        <v>104</v>
      </c>
      <c r="G796" t="s">
        <v>105</v>
      </c>
      <c r="H796" t="s">
        <v>29</v>
      </c>
      <c r="I796" t="s">
        <v>58</v>
      </c>
      <c r="J796" t="s">
        <v>59</v>
      </c>
      <c r="K796">
        <v>3</v>
      </c>
      <c r="L796" s="2">
        <v>2315.83</v>
      </c>
      <c r="M796">
        <v>0.15</v>
      </c>
      <c r="N796">
        <v>369.95</v>
      </c>
    </row>
    <row r="797" spans="1:14" x14ac:dyDescent="0.35">
      <c r="A797" t="s">
        <v>1336</v>
      </c>
      <c r="B797" s="1">
        <v>45948</v>
      </c>
      <c r="C797" t="s">
        <v>167</v>
      </c>
      <c r="D797" t="s">
        <v>155</v>
      </c>
      <c r="E797" t="s">
        <v>35</v>
      </c>
      <c r="F797" t="s">
        <v>36</v>
      </c>
      <c r="G797" t="s">
        <v>255</v>
      </c>
      <c r="H797" t="s">
        <v>29</v>
      </c>
      <c r="I797" t="s">
        <v>58</v>
      </c>
      <c r="J797" t="s">
        <v>300</v>
      </c>
      <c r="K797">
        <v>6</v>
      </c>
      <c r="L797" s="2">
        <v>8825.01</v>
      </c>
      <c r="M797">
        <v>0</v>
      </c>
      <c r="N797">
        <v>1106.04</v>
      </c>
    </row>
    <row r="798" spans="1:14" x14ac:dyDescent="0.35">
      <c r="A798" t="s">
        <v>1337</v>
      </c>
      <c r="B798" s="1">
        <v>45948</v>
      </c>
      <c r="C798" t="s">
        <v>262</v>
      </c>
      <c r="D798" t="s">
        <v>812</v>
      </c>
      <c r="E798" t="s">
        <v>51</v>
      </c>
      <c r="F798" t="s">
        <v>92</v>
      </c>
      <c r="G798" t="s">
        <v>93</v>
      </c>
      <c r="H798" t="s">
        <v>38</v>
      </c>
      <c r="I798" t="s">
        <v>218</v>
      </c>
      <c r="J798" t="s">
        <v>225</v>
      </c>
      <c r="K798">
        <v>4</v>
      </c>
      <c r="L798" s="2">
        <v>750.89</v>
      </c>
      <c r="M798">
        <v>0.2</v>
      </c>
      <c r="N798">
        <v>125.5</v>
      </c>
    </row>
    <row r="799" spans="1:14" x14ac:dyDescent="0.35">
      <c r="A799" t="s">
        <v>1338</v>
      </c>
      <c r="B799" s="1">
        <v>45948</v>
      </c>
      <c r="C799" t="s">
        <v>502</v>
      </c>
      <c r="D799" t="s">
        <v>616</v>
      </c>
      <c r="E799" t="s">
        <v>51</v>
      </c>
      <c r="F799" t="s">
        <v>92</v>
      </c>
      <c r="G799" t="s">
        <v>93</v>
      </c>
      <c r="H799" t="s">
        <v>29</v>
      </c>
      <c r="I799" t="s">
        <v>94</v>
      </c>
      <c r="J799" t="s">
        <v>138</v>
      </c>
      <c r="K799">
        <v>6</v>
      </c>
      <c r="L799" s="2">
        <v>263452.67</v>
      </c>
      <c r="M799">
        <v>0.05</v>
      </c>
      <c r="N799">
        <v>23422.11</v>
      </c>
    </row>
    <row r="800" spans="1:14" x14ac:dyDescent="0.35">
      <c r="A800" t="s">
        <v>1339</v>
      </c>
      <c r="B800" s="1">
        <v>45949</v>
      </c>
      <c r="C800" t="s">
        <v>269</v>
      </c>
      <c r="D800" t="s">
        <v>601</v>
      </c>
      <c r="E800" t="s">
        <v>17</v>
      </c>
      <c r="F800" t="s">
        <v>185</v>
      </c>
      <c r="G800" t="s">
        <v>186</v>
      </c>
      <c r="H800" t="s">
        <v>20</v>
      </c>
      <c r="I800" t="s">
        <v>65</v>
      </c>
      <c r="J800" t="s">
        <v>66</v>
      </c>
      <c r="K800">
        <v>2</v>
      </c>
      <c r="L800" s="2">
        <v>19723.62</v>
      </c>
      <c r="M800">
        <v>0</v>
      </c>
      <c r="N800">
        <v>1477.37</v>
      </c>
    </row>
    <row r="801" spans="1:14" x14ac:dyDescent="0.35">
      <c r="A801" t="s">
        <v>1340</v>
      </c>
      <c r="B801" s="1">
        <v>45949</v>
      </c>
      <c r="C801" t="s">
        <v>606</v>
      </c>
      <c r="D801" t="s">
        <v>580</v>
      </c>
      <c r="E801" t="s">
        <v>26</v>
      </c>
      <c r="F801" t="s">
        <v>44</v>
      </c>
      <c r="G801" t="s">
        <v>45</v>
      </c>
      <c r="H801" t="s">
        <v>29</v>
      </c>
      <c r="I801" t="s">
        <v>30</v>
      </c>
      <c r="J801" t="s">
        <v>182</v>
      </c>
      <c r="K801">
        <v>5</v>
      </c>
      <c r="L801" s="2">
        <v>206463.07</v>
      </c>
      <c r="M801">
        <v>0</v>
      </c>
      <c r="N801">
        <v>46979.7</v>
      </c>
    </row>
    <row r="802" spans="1:14" x14ac:dyDescent="0.35">
      <c r="A802" t="s">
        <v>1341</v>
      </c>
      <c r="B802" s="1">
        <v>45949</v>
      </c>
      <c r="C802" t="s">
        <v>611</v>
      </c>
      <c r="D802" t="s">
        <v>601</v>
      </c>
      <c r="E802" t="s">
        <v>17</v>
      </c>
      <c r="F802" t="s">
        <v>185</v>
      </c>
      <c r="G802" t="s">
        <v>528</v>
      </c>
      <c r="H802" t="s">
        <v>20</v>
      </c>
      <c r="I802" t="s">
        <v>65</v>
      </c>
      <c r="J802" t="s">
        <v>66</v>
      </c>
      <c r="K802">
        <v>5</v>
      </c>
      <c r="L802" s="2">
        <v>48051.81</v>
      </c>
      <c r="M802">
        <v>0</v>
      </c>
      <c r="N802">
        <v>5279.08</v>
      </c>
    </row>
    <row r="803" spans="1:14" x14ac:dyDescent="0.35">
      <c r="A803" t="s">
        <v>1342</v>
      </c>
      <c r="B803" s="1">
        <v>45949</v>
      </c>
      <c r="C803" t="s">
        <v>114</v>
      </c>
      <c r="D803" t="s">
        <v>561</v>
      </c>
      <c r="E803" t="s">
        <v>26</v>
      </c>
      <c r="F803" t="s">
        <v>86</v>
      </c>
      <c r="G803" t="s">
        <v>87</v>
      </c>
      <c r="H803" t="s">
        <v>29</v>
      </c>
      <c r="I803" t="s">
        <v>94</v>
      </c>
      <c r="J803" t="s">
        <v>138</v>
      </c>
      <c r="K803">
        <v>5</v>
      </c>
      <c r="L803" s="2">
        <v>203285.12</v>
      </c>
      <c r="M803">
        <v>0.15</v>
      </c>
      <c r="N803">
        <v>21936.74</v>
      </c>
    </row>
    <row r="804" spans="1:14" x14ac:dyDescent="0.35">
      <c r="A804" t="s">
        <v>1343</v>
      </c>
      <c r="B804" s="1">
        <v>45951</v>
      </c>
      <c r="C804" t="s">
        <v>1317</v>
      </c>
      <c r="D804" t="s">
        <v>1020</v>
      </c>
      <c r="E804" t="s">
        <v>51</v>
      </c>
      <c r="F804" t="s">
        <v>92</v>
      </c>
      <c r="G804" t="s">
        <v>93</v>
      </c>
      <c r="H804" t="s">
        <v>38</v>
      </c>
      <c r="I804" t="s">
        <v>218</v>
      </c>
      <c r="J804" t="s">
        <v>221</v>
      </c>
      <c r="K804">
        <v>6</v>
      </c>
      <c r="L804" s="2">
        <v>1078.29</v>
      </c>
      <c r="M804">
        <v>0.05</v>
      </c>
      <c r="N804">
        <v>125</v>
      </c>
    </row>
    <row r="805" spans="1:14" x14ac:dyDescent="0.35">
      <c r="A805" t="s">
        <v>1344</v>
      </c>
      <c r="B805" s="1">
        <v>45951</v>
      </c>
      <c r="C805" t="s">
        <v>1208</v>
      </c>
      <c r="D805" t="s">
        <v>598</v>
      </c>
      <c r="E805" t="s">
        <v>26</v>
      </c>
      <c r="F805" t="s">
        <v>121</v>
      </c>
      <c r="G805" t="s">
        <v>214</v>
      </c>
      <c r="H805" t="s">
        <v>29</v>
      </c>
      <c r="I805" t="s">
        <v>94</v>
      </c>
      <c r="J805" t="s">
        <v>95</v>
      </c>
      <c r="K805">
        <v>7</v>
      </c>
      <c r="L805" s="2">
        <v>402728.49</v>
      </c>
      <c r="M805">
        <v>0</v>
      </c>
      <c r="N805">
        <v>69363.320000000007</v>
      </c>
    </row>
    <row r="806" spans="1:14" x14ac:dyDescent="0.35">
      <c r="A806" t="s">
        <v>1345</v>
      </c>
      <c r="B806" s="1">
        <v>45951</v>
      </c>
      <c r="C806" t="s">
        <v>567</v>
      </c>
      <c r="D806" t="s">
        <v>739</v>
      </c>
      <c r="E806" t="s">
        <v>51</v>
      </c>
      <c r="F806" t="s">
        <v>99</v>
      </c>
      <c r="G806" t="s">
        <v>482</v>
      </c>
      <c r="H806" t="s">
        <v>29</v>
      </c>
      <c r="I806" t="s">
        <v>94</v>
      </c>
      <c r="J806" t="s">
        <v>106</v>
      </c>
      <c r="K806">
        <v>2</v>
      </c>
      <c r="L806" s="2">
        <v>148557.48000000001</v>
      </c>
      <c r="M806">
        <v>0.1</v>
      </c>
      <c r="N806">
        <v>27936.09</v>
      </c>
    </row>
    <row r="807" spans="1:14" x14ac:dyDescent="0.35">
      <c r="A807" t="s">
        <v>1346</v>
      </c>
      <c r="B807" s="1">
        <v>45952</v>
      </c>
      <c r="C807" t="s">
        <v>1347</v>
      </c>
      <c r="D807" t="s">
        <v>234</v>
      </c>
      <c r="E807" t="s">
        <v>17</v>
      </c>
      <c r="F807" t="s">
        <v>18</v>
      </c>
      <c r="G807" t="s">
        <v>19</v>
      </c>
      <c r="H807" t="s">
        <v>20</v>
      </c>
      <c r="I807" t="s">
        <v>65</v>
      </c>
      <c r="J807" t="s">
        <v>66</v>
      </c>
      <c r="K807">
        <v>3</v>
      </c>
      <c r="L807" s="2">
        <v>25562.54</v>
      </c>
      <c r="M807">
        <v>0.15</v>
      </c>
      <c r="N807">
        <v>2976.65</v>
      </c>
    </row>
    <row r="808" spans="1:14" x14ac:dyDescent="0.35">
      <c r="A808" t="s">
        <v>1348</v>
      </c>
      <c r="B808" s="1">
        <v>45952</v>
      </c>
      <c r="C808" t="s">
        <v>681</v>
      </c>
      <c r="D808" t="s">
        <v>161</v>
      </c>
      <c r="E808" t="s">
        <v>51</v>
      </c>
      <c r="F808" t="s">
        <v>52</v>
      </c>
      <c r="G808" t="s">
        <v>53</v>
      </c>
      <c r="H808" t="s">
        <v>29</v>
      </c>
      <c r="I808" t="s">
        <v>58</v>
      </c>
      <c r="J808" t="s">
        <v>300</v>
      </c>
      <c r="K808">
        <v>6</v>
      </c>
      <c r="L808" s="2">
        <v>7896.13</v>
      </c>
      <c r="M808">
        <v>0.05</v>
      </c>
      <c r="N808">
        <v>1223.79</v>
      </c>
    </row>
    <row r="809" spans="1:14" x14ac:dyDescent="0.35">
      <c r="A809" t="s">
        <v>1349</v>
      </c>
      <c r="B809" s="1">
        <v>45953</v>
      </c>
      <c r="C809" t="s">
        <v>180</v>
      </c>
      <c r="D809" t="s">
        <v>341</v>
      </c>
      <c r="E809" t="s">
        <v>51</v>
      </c>
      <c r="F809" t="s">
        <v>63</v>
      </c>
      <c r="G809" t="s">
        <v>324</v>
      </c>
      <c r="H809" t="s">
        <v>20</v>
      </c>
      <c r="I809" t="s">
        <v>65</v>
      </c>
      <c r="J809" t="s">
        <v>66</v>
      </c>
      <c r="K809">
        <v>4</v>
      </c>
      <c r="L809" s="2">
        <v>36272.589999999997</v>
      </c>
      <c r="M809">
        <v>0.05</v>
      </c>
      <c r="N809">
        <v>8246.74</v>
      </c>
    </row>
    <row r="810" spans="1:14" x14ac:dyDescent="0.35">
      <c r="A810" t="s">
        <v>1350</v>
      </c>
      <c r="B810" s="1">
        <v>45953</v>
      </c>
      <c r="C810" t="s">
        <v>192</v>
      </c>
      <c r="D810" t="s">
        <v>446</v>
      </c>
      <c r="E810" t="s">
        <v>51</v>
      </c>
      <c r="F810" t="s">
        <v>52</v>
      </c>
      <c r="G810" t="s">
        <v>53</v>
      </c>
      <c r="H810" t="s">
        <v>20</v>
      </c>
      <c r="I810" t="s">
        <v>46</v>
      </c>
      <c r="J810" t="s">
        <v>47</v>
      </c>
      <c r="K810">
        <v>7</v>
      </c>
      <c r="L810" s="2">
        <v>46050.89</v>
      </c>
      <c r="M810">
        <v>0.1</v>
      </c>
      <c r="N810">
        <v>8051.92</v>
      </c>
    </row>
    <row r="811" spans="1:14" x14ac:dyDescent="0.35">
      <c r="A811" t="s">
        <v>1351</v>
      </c>
      <c r="B811" s="1">
        <v>45954</v>
      </c>
      <c r="C811" t="s">
        <v>124</v>
      </c>
      <c r="D811" t="s">
        <v>689</v>
      </c>
      <c r="E811" t="s">
        <v>26</v>
      </c>
      <c r="F811" t="s">
        <v>44</v>
      </c>
      <c r="G811" t="s">
        <v>45</v>
      </c>
      <c r="H811" t="s">
        <v>20</v>
      </c>
      <c r="I811" t="s">
        <v>65</v>
      </c>
      <c r="J811" t="s">
        <v>142</v>
      </c>
      <c r="K811">
        <v>5</v>
      </c>
      <c r="L811" s="2">
        <v>100878.39</v>
      </c>
      <c r="M811">
        <v>0.1</v>
      </c>
      <c r="N811">
        <v>9661.3700000000008</v>
      </c>
    </row>
    <row r="812" spans="1:14" x14ac:dyDescent="0.35">
      <c r="A812" t="s">
        <v>1352</v>
      </c>
      <c r="B812" s="1">
        <v>45955</v>
      </c>
      <c r="C812" t="s">
        <v>164</v>
      </c>
      <c r="D812" t="s">
        <v>75</v>
      </c>
      <c r="E812" t="s">
        <v>51</v>
      </c>
      <c r="F812" t="s">
        <v>52</v>
      </c>
      <c r="G812" t="s">
        <v>57</v>
      </c>
      <c r="H812" t="s">
        <v>20</v>
      </c>
      <c r="I812" t="s">
        <v>21</v>
      </c>
      <c r="J812" t="s">
        <v>72</v>
      </c>
      <c r="K812">
        <v>1</v>
      </c>
      <c r="L812" s="2">
        <v>3215.29</v>
      </c>
      <c r="M812">
        <v>0</v>
      </c>
      <c r="N812">
        <v>604.5</v>
      </c>
    </row>
    <row r="813" spans="1:14" x14ac:dyDescent="0.35">
      <c r="A813" t="s">
        <v>1353</v>
      </c>
      <c r="B813" s="1">
        <v>45955</v>
      </c>
      <c r="C813" t="s">
        <v>157</v>
      </c>
      <c r="D813" t="s">
        <v>467</v>
      </c>
      <c r="E813" t="s">
        <v>35</v>
      </c>
      <c r="F813" t="s">
        <v>70</v>
      </c>
      <c r="G813" t="s">
        <v>71</v>
      </c>
      <c r="H813" t="s">
        <v>20</v>
      </c>
      <c r="I813" t="s">
        <v>21</v>
      </c>
      <c r="J813" t="s">
        <v>72</v>
      </c>
      <c r="K813">
        <v>6</v>
      </c>
      <c r="L813" s="2">
        <v>16056.11</v>
      </c>
      <c r="M813">
        <v>0.05</v>
      </c>
      <c r="N813">
        <v>842.23</v>
      </c>
    </row>
    <row r="814" spans="1:14" x14ac:dyDescent="0.35">
      <c r="A814" t="s">
        <v>1354</v>
      </c>
      <c r="B814" s="1">
        <v>45955</v>
      </c>
      <c r="C814" t="s">
        <v>108</v>
      </c>
      <c r="D814" t="s">
        <v>436</v>
      </c>
      <c r="E814" t="s">
        <v>17</v>
      </c>
      <c r="F814" t="s">
        <v>185</v>
      </c>
      <c r="G814" t="s">
        <v>528</v>
      </c>
      <c r="H814" t="s">
        <v>20</v>
      </c>
      <c r="I814" t="s">
        <v>65</v>
      </c>
      <c r="J814" t="s">
        <v>66</v>
      </c>
      <c r="K814">
        <v>6</v>
      </c>
      <c r="L814" s="2">
        <v>45197.64</v>
      </c>
      <c r="M814">
        <v>0.2</v>
      </c>
      <c r="N814">
        <v>4882.6400000000003</v>
      </c>
    </row>
    <row r="815" spans="1:14" x14ac:dyDescent="0.35">
      <c r="A815" t="s">
        <v>1355</v>
      </c>
      <c r="B815" s="1">
        <v>45956</v>
      </c>
      <c r="C815" t="s">
        <v>326</v>
      </c>
      <c r="D815" t="s">
        <v>383</v>
      </c>
      <c r="E815" t="s">
        <v>51</v>
      </c>
      <c r="F815" t="s">
        <v>63</v>
      </c>
      <c r="G815" t="s">
        <v>64</v>
      </c>
      <c r="H815" t="s">
        <v>20</v>
      </c>
      <c r="I815" t="s">
        <v>46</v>
      </c>
      <c r="J815" t="s">
        <v>130</v>
      </c>
      <c r="K815">
        <v>7</v>
      </c>
      <c r="L815" s="2">
        <v>56783.33</v>
      </c>
      <c r="M815">
        <v>0.1</v>
      </c>
      <c r="N815">
        <v>9842.73</v>
      </c>
    </row>
    <row r="816" spans="1:14" x14ac:dyDescent="0.35">
      <c r="A816" t="s">
        <v>1356</v>
      </c>
      <c r="B816" s="1">
        <v>45957</v>
      </c>
      <c r="C816" t="s">
        <v>419</v>
      </c>
      <c r="D816" t="s">
        <v>642</v>
      </c>
      <c r="E816" t="s">
        <v>26</v>
      </c>
      <c r="F816" t="s">
        <v>86</v>
      </c>
      <c r="G816" t="s">
        <v>87</v>
      </c>
      <c r="H816" t="s">
        <v>29</v>
      </c>
      <c r="I816" t="s">
        <v>58</v>
      </c>
      <c r="J816" t="s">
        <v>59</v>
      </c>
      <c r="K816">
        <v>5</v>
      </c>
      <c r="L816" s="2">
        <v>4445.8900000000003</v>
      </c>
      <c r="M816">
        <v>0</v>
      </c>
      <c r="N816">
        <v>993.26</v>
      </c>
    </row>
    <row r="817" spans="1:14" x14ac:dyDescent="0.35">
      <c r="A817" t="s">
        <v>1357</v>
      </c>
      <c r="B817" s="1">
        <v>45959</v>
      </c>
      <c r="C817" t="s">
        <v>587</v>
      </c>
      <c r="D817" t="s">
        <v>228</v>
      </c>
      <c r="E817" t="s">
        <v>35</v>
      </c>
      <c r="F817" t="s">
        <v>70</v>
      </c>
      <c r="G817" t="s">
        <v>297</v>
      </c>
      <c r="H817" t="s">
        <v>29</v>
      </c>
      <c r="I817" t="s">
        <v>58</v>
      </c>
      <c r="J817" t="s">
        <v>88</v>
      </c>
      <c r="K817">
        <v>1</v>
      </c>
      <c r="L817" s="2">
        <v>2194.12</v>
      </c>
      <c r="M817">
        <v>0.05</v>
      </c>
      <c r="N817">
        <v>242.16</v>
      </c>
    </row>
    <row r="818" spans="1:14" x14ac:dyDescent="0.35">
      <c r="A818" t="s">
        <v>1358</v>
      </c>
      <c r="B818" s="1">
        <v>45960</v>
      </c>
      <c r="C818" t="s">
        <v>821</v>
      </c>
      <c r="D818" t="s">
        <v>652</v>
      </c>
      <c r="E818" t="s">
        <v>35</v>
      </c>
      <c r="F818" t="s">
        <v>70</v>
      </c>
      <c r="G818" t="s">
        <v>297</v>
      </c>
      <c r="H818" t="s">
        <v>20</v>
      </c>
      <c r="I818" t="s">
        <v>46</v>
      </c>
      <c r="J818" t="s">
        <v>203</v>
      </c>
      <c r="K818">
        <v>3</v>
      </c>
      <c r="L818" s="2">
        <v>15158.8</v>
      </c>
      <c r="M818">
        <v>0.05</v>
      </c>
      <c r="N818">
        <v>3203.45</v>
      </c>
    </row>
    <row r="819" spans="1:14" x14ac:dyDescent="0.35">
      <c r="A819" t="s">
        <v>1359</v>
      </c>
      <c r="B819" s="1">
        <v>45960</v>
      </c>
      <c r="C819" t="s">
        <v>656</v>
      </c>
      <c r="D819" t="s">
        <v>551</v>
      </c>
      <c r="E819" t="s">
        <v>51</v>
      </c>
      <c r="F819" t="s">
        <v>99</v>
      </c>
      <c r="G819" t="s">
        <v>482</v>
      </c>
      <c r="H819" t="s">
        <v>29</v>
      </c>
      <c r="I819" t="s">
        <v>30</v>
      </c>
      <c r="J819" t="s">
        <v>182</v>
      </c>
      <c r="K819">
        <v>5</v>
      </c>
      <c r="L819" s="2">
        <v>189682.6</v>
      </c>
      <c r="M819">
        <v>0.1</v>
      </c>
      <c r="N819">
        <v>34285.410000000003</v>
      </c>
    </row>
    <row r="820" spans="1:14" x14ac:dyDescent="0.35">
      <c r="A820" t="s">
        <v>1360</v>
      </c>
      <c r="B820" s="1">
        <v>45960</v>
      </c>
      <c r="C820" t="s">
        <v>1361</v>
      </c>
      <c r="D820" t="s">
        <v>943</v>
      </c>
      <c r="E820" t="s">
        <v>35</v>
      </c>
      <c r="F820" t="s">
        <v>70</v>
      </c>
      <c r="G820" t="s">
        <v>71</v>
      </c>
      <c r="H820" t="s">
        <v>38</v>
      </c>
      <c r="I820" t="s">
        <v>39</v>
      </c>
      <c r="J820" t="s">
        <v>258</v>
      </c>
      <c r="K820">
        <v>2</v>
      </c>
      <c r="L820" s="2">
        <v>1210.9000000000001</v>
      </c>
      <c r="M820">
        <v>0.05</v>
      </c>
      <c r="N820">
        <v>82.98</v>
      </c>
    </row>
    <row r="821" spans="1:14" x14ac:dyDescent="0.35">
      <c r="A821" t="s">
        <v>1362</v>
      </c>
      <c r="B821" s="1">
        <v>45961</v>
      </c>
      <c r="C821" t="s">
        <v>445</v>
      </c>
      <c r="D821" t="s">
        <v>464</v>
      </c>
      <c r="E821" t="s">
        <v>26</v>
      </c>
      <c r="F821" t="s">
        <v>121</v>
      </c>
      <c r="G821" t="s">
        <v>122</v>
      </c>
      <c r="H821" t="s">
        <v>38</v>
      </c>
      <c r="I821" t="s">
        <v>218</v>
      </c>
      <c r="J821" t="s">
        <v>221</v>
      </c>
      <c r="K821">
        <v>6</v>
      </c>
      <c r="L821" s="2">
        <v>1017.25</v>
      </c>
      <c r="M821">
        <v>0.05</v>
      </c>
      <c r="N821">
        <v>73.47</v>
      </c>
    </row>
    <row r="822" spans="1:14" x14ac:dyDescent="0.35">
      <c r="A822" t="s">
        <v>1363</v>
      </c>
      <c r="B822" s="1">
        <v>45961</v>
      </c>
      <c r="C822" t="s">
        <v>119</v>
      </c>
      <c r="D822" t="s">
        <v>619</v>
      </c>
      <c r="E822" t="s">
        <v>26</v>
      </c>
      <c r="F822" t="s">
        <v>27</v>
      </c>
      <c r="G822" t="s">
        <v>28</v>
      </c>
      <c r="H822" t="s">
        <v>38</v>
      </c>
      <c r="I822" t="s">
        <v>218</v>
      </c>
      <c r="J822" t="s">
        <v>221</v>
      </c>
      <c r="K822">
        <v>5</v>
      </c>
      <c r="L822" s="2">
        <v>742.58</v>
      </c>
      <c r="M822">
        <v>0.15</v>
      </c>
      <c r="N822">
        <v>119.2</v>
      </c>
    </row>
    <row r="823" spans="1:14" x14ac:dyDescent="0.35">
      <c r="A823" t="s">
        <v>1364</v>
      </c>
      <c r="B823" s="1">
        <v>45961</v>
      </c>
      <c r="C823" t="s">
        <v>549</v>
      </c>
      <c r="D823" t="s">
        <v>565</v>
      </c>
      <c r="E823" t="s">
        <v>51</v>
      </c>
      <c r="F823" t="s">
        <v>52</v>
      </c>
      <c r="G823" t="s">
        <v>53</v>
      </c>
      <c r="H823" t="s">
        <v>29</v>
      </c>
      <c r="I823" t="s">
        <v>30</v>
      </c>
      <c r="J823" t="s">
        <v>182</v>
      </c>
      <c r="K823">
        <v>5</v>
      </c>
      <c r="L823" s="2">
        <v>185438.86</v>
      </c>
      <c r="M823">
        <v>0.1</v>
      </c>
      <c r="N823">
        <v>16823.48</v>
      </c>
    </row>
    <row r="824" spans="1:14" x14ac:dyDescent="0.35">
      <c r="A824" t="s">
        <v>1365</v>
      </c>
      <c r="B824" s="1">
        <v>45961</v>
      </c>
      <c r="C824" t="s">
        <v>470</v>
      </c>
      <c r="D824" t="s">
        <v>860</v>
      </c>
      <c r="E824" t="s">
        <v>17</v>
      </c>
      <c r="F824" t="s">
        <v>210</v>
      </c>
      <c r="G824" t="s">
        <v>211</v>
      </c>
      <c r="H824" t="s">
        <v>29</v>
      </c>
      <c r="I824" t="s">
        <v>30</v>
      </c>
      <c r="J824" t="s">
        <v>182</v>
      </c>
      <c r="K824">
        <v>6</v>
      </c>
      <c r="L824" s="2">
        <v>231599.32</v>
      </c>
      <c r="M824">
        <v>0.05</v>
      </c>
      <c r="N824">
        <v>41827.370000000003</v>
      </c>
    </row>
    <row r="825" spans="1:14" x14ac:dyDescent="0.35">
      <c r="A825" t="s">
        <v>1366</v>
      </c>
      <c r="B825" s="1">
        <v>45961</v>
      </c>
      <c r="C825" t="s">
        <v>335</v>
      </c>
      <c r="D825" t="s">
        <v>50</v>
      </c>
      <c r="E825" t="s">
        <v>35</v>
      </c>
      <c r="F825" t="s">
        <v>110</v>
      </c>
      <c r="G825" t="s">
        <v>111</v>
      </c>
      <c r="H825" t="s">
        <v>29</v>
      </c>
      <c r="I825" t="s">
        <v>30</v>
      </c>
      <c r="J825" t="s">
        <v>182</v>
      </c>
      <c r="K825">
        <v>3</v>
      </c>
      <c r="L825" s="2">
        <v>105202.29</v>
      </c>
      <c r="M825">
        <v>0.1</v>
      </c>
      <c r="N825">
        <v>11026.16</v>
      </c>
    </row>
    <row r="826" spans="1:14" x14ac:dyDescent="0.35">
      <c r="A826" t="s">
        <v>1367</v>
      </c>
      <c r="B826" s="1">
        <v>45962</v>
      </c>
      <c r="C826" t="s">
        <v>1368</v>
      </c>
      <c r="D826" t="s">
        <v>403</v>
      </c>
      <c r="E826" t="s">
        <v>26</v>
      </c>
      <c r="F826" t="s">
        <v>44</v>
      </c>
      <c r="G826" t="s">
        <v>116</v>
      </c>
      <c r="H826" t="s">
        <v>38</v>
      </c>
      <c r="I826" t="s">
        <v>78</v>
      </c>
      <c r="J826" t="s">
        <v>307</v>
      </c>
      <c r="K826">
        <v>7</v>
      </c>
      <c r="L826" s="2">
        <v>3140.87</v>
      </c>
      <c r="M826">
        <v>0.15</v>
      </c>
      <c r="N826">
        <v>398.61</v>
      </c>
    </row>
    <row r="827" spans="1:14" x14ac:dyDescent="0.35">
      <c r="A827" t="s">
        <v>1369</v>
      </c>
      <c r="B827" s="1">
        <v>45963</v>
      </c>
      <c r="C827" t="s">
        <v>704</v>
      </c>
      <c r="D827" t="s">
        <v>996</v>
      </c>
      <c r="E827" t="s">
        <v>51</v>
      </c>
      <c r="F827" t="s">
        <v>63</v>
      </c>
      <c r="G827" t="s">
        <v>324</v>
      </c>
      <c r="H827" t="s">
        <v>38</v>
      </c>
      <c r="I827" t="s">
        <v>218</v>
      </c>
      <c r="J827" t="s">
        <v>221</v>
      </c>
      <c r="K827">
        <v>4</v>
      </c>
      <c r="L827" s="2">
        <v>771.38</v>
      </c>
      <c r="M827">
        <v>0</v>
      </c>
      <c r="N827">
        <v>163.22</v>
      </c>
    </row>
    <row r="828" spans="1:14" x14ac:dyDescent="0.35">
      <c r="A828" t="s">
        <v>1370</v>
      </c>
      <c r="B828" s="1">
        <v>45964</v>
      </c>
      <c r="C828" t="s">
        <v>1371</v>
      </c>
      <c r="D828" t="s">
        <v>200</v>
      </c>
      <c r="E828" t="s">
        <v>51</v>
      </c>
      <c r="F828" t="s">
        <v>104</v>
      </c>
      <c r="G828" t="s">
        <v>105</v>
      </c>
      <c r="H828" t="s">
        <v>29</v>
      </c>
      <c r="I828" t="s">
        <v>30</v>
      </c>
      <c r="J828" t="s">
        <v>112</v>
      </c>
      <c r="K828">
        <v>3</v>
      </c>
      <c r="L828" s="2">
        <v>76826.05</v>
      </c>
      <c r="M828">
        <v>0.1</v>
      </c>
      <c r="N828">
        <v>10624.2</v>
      </c>
    </row>
    <row r="829" spans="1:14" x14ac:dyDescent="0.35">
      <c r="A829" t="s">
        <v>1372</v>
      </c>
      <c r="B829" s="1">
        <v>45964</v>
      </c>
      <c r="C829" t="s">
        <v>582</v>
      </c>
      <c r="D829" t="s">
        <v>266</v>
      </c>
      <c r="E829" t="s">
        <v>26</v>
      </c>
      <c r="F829" t="s">
        <v>44</v>
      </c>
      <c r="G829" t="s">
        <v>116</v>
      </c>
      <c r="H829" t="s">
        <v>38</v>
      </c>
      <c r="I829" t="s">
        <v>218</v>
      </c>
      <c r="J829" t="s">
        <v>221</v>
      </c>
      <c r="K829">
        <v>1</v>
      </c>
      <c r="L829" s="2">
        <v>159.94</v>
      </c>
      <c r="M829">
        <v>0.15</v>
      </c>
      <c r="N829">
        <v>24.94</v>
      </c>
    </row>
    <row r="830" spans="1:14" x14ac:dyDescent="0.35">
      <c r="A830" t="s">
        <v>1373</v>
      </c>
      <c r="B830" s="1">
        <v>45965</v>
      </c>
      <c r="C830" t="s">
        <v>108</v>
      </c>
      <c r="D830" t="s">
        <v>702</v>
      </c>
      <c r="E830" t="s">
        <v>26</v>
      </c>
      <c r="F830" t="s">
        <v>27</v>
      </c>
      <c r="G830" t="s">
        <v>249</v>
      </c>
      <c r="H830" t="s">
        <v>38</v>
      </c>
      <c r="I830" t="s">
        <v>39</v>
      </c>
      <c r="J830" t="s">
        <v>40</v>
      </c>
      <c r="K830">
        <v>5</v>
      </c>
      <c r="L830" s="2">
        <v>2257.56</v>
      </c>
      <c r="M830">
        <v>0</v>
      </c>
      <c r="N830">
        <v>256.49</v>
      </c>
    </row>
    <row r="831" spans="1:14" x14ac:dyDescent="0.35">
      <c r="A831" t="s">
        <v>1374</v>
      </c>
      <c r="B831" s="1">
        <v>45966</v>
      </c>
      <c r="C831" t="s">
        <v>1251</v>
      </c>
      <c r="D831" t="s">
        <v>563</v>
      </c>
      <c r="E831" t="s">
        <v>26</v>
      </c>
      <c r="F831" t="s">
        <v>44</v>
      </c>
      <c r="G831" t="s">
        <v>116</v>
      </c>
      <c r="H831" t="s">
        <v>29</v>
      </c>
      <c r="I831" t="s">
        <v>94</v>
      </c>
      <c r="J831" t="s">
        <v>138</v>
      </c>
      <c r="K831">
        <v>6</v>
      </c>
      <c r="L831" s="2">
        <v>258714.93</v>
      </c>
      <c r="M831">
        <v>0.05</v>
      </c>
      <c r="N831">
        <v>13010.31</v>
      </c>
    </row>
    <row r="832" spans="1:14" x14ac:dyDescent="0.35">
      <c r="A832" t="s">
        <v>1375</v>
      </c>
      <c r="B832" s="1">
        <v>45966</v>
      </c>
      <c r="C832" t="s">
        <v>1317</v>
      </c>
      <c r="D832" t="s">
        <v>339</v>
      </c>
      <c r="E832" t="s">
        <v>51</v>
      </c>
      <c r="F832" t="s">
        <v>99</v>
      </c>
      <c r="G832" t="s">
        <v>231</v>
      </c>
      <c r="H832" t="s">
        <v>38</v>
      </c>
      <c r="I832" t="s">
        <v>39</v>
      </c>
      <c r="J832" t="s">
        <v>134</v>
      </c>
      <c r="K832">
        <v>3</v>
      </c>
      <c r="L832" s="2">
        <v>1996.3</v>
      </c>
      <c r="M832">
        <v>0.1</v>
      </c>
      <c r="N832">
        <v>420.4</v>
      </c>
    </row>
    <row r="833" spans="1:14" x14ac:dyDescent="0.35">
      <c r="A833" t="s">
        <v>1376</v>
      </c>
      <c r="B833" s="1">
        <v>45966</v>
      </c>
      <c r="C833" t="s">
        <v>597</v>
      </c>
      <c r="D833" t="s">
        <v>724</v>
      </c>
      <c r="E833" t="s">
        <v>51</v>
      </c>
      <c r="F833" t="s">
        <v>52</v>
      </c>
      <c r="G833" t="s">
        <v>57</v>
      </c>
      <c r="H833" t="s">
        <v>20</v>
      </c>
      <c r="I833" t="s">
        <v>21</v>
      </c>
      <c r="J833" t="s">
        <v>72</v>
      </c>
      <c r="K833">
        <v>4</v>
      </c>
      <c r="L833" s="2">
        <v>12247.44</v>
      </c>
      <c r="M833">
        <v>0</v>
      </c>
      <c r="N833">
        <v>2146.59</v>
      </c>
    </row>
    <row r="834" spans="1:14" x14ac:dyDescent="0.35">
      <c r="A834" t="s">
        <v>1377</v>
      </c>
      <c r="B834" s="1">
        <v>45967</v>
      </c>
      <c r="C834" t="s">
        <v>697</v>
      </c>
      <c r="D834" t="s">
        <v>630</v>
      </c>
      <c r="E834" t="s">
        <v>51</v>
      </c>
      <c r="F834" t="s">
        <v>104</v>
      </c>
      <c r="G834" t="s">
        <v>206</v>
      </c>
      <c r="H834" t="s">
        <v>29</v>
      </c>
      <c r="I834" t="s">
        <v>94</v>
      </c>
      <c r="J834" t="s">
        <v>106</v>
      </c>
      <c r="K834">
        <v>3</v>
      </c>
      <c r="L834" s="2">
        <v>190678.55</v>
      </c>
      <c r="M834">
        <v>0.15</v>
      </c>
      <c r="N834">
        <v>8055.54</v>
      </c>
    </row>
    <row r="835" spans="1:14" x14ac:dyDescent="0.35">
      <c r="A835" t="s">
        <v>1378</v>
      </c>
      <c r="B835" s="1">
        <v>45967</v>
      </c>
      <c r="C835" t="s">
        <v>514</v>
      </c>
      <c r="D835" t="s">
        <v>490</v>
      </c>
      <c r="E835" t="s">
        <v>51</v>
      </c>
      <c r="F835" t="s">
        <v>104</v>
      </c>
      <c r="G835" t="s">
        <v>206</v>
      </c>
      <c r="H835" t="s">
        <v>20</v>
      </c>
      <c r="I835" t="s">
        <v>21</v>
      </c>
      <c r="J835" t="s">
        <v>197</v>
      </c>
      <c r="K835">
        <v>2</v>
      </c>
      <c r="L835" s="2">
        <v>23692.29</v>
      </c>
      <c r="M835">
        <v>0.05</v>
      </c>
      <c r="N835">
        <v>5297.54</v>
      </c>
    </row>
    <row r="836" spans="1:14" x14ac:dyDescent="0.35">
      <c r="A836" t="s">
        <v>1379</v>
      </c>
      <c r="B836" s="1">
        <v>45967</v>
      </c>
      <c r="C836" t="s">
        <v>176</v>
      </c>
      <c r="D836" t="s">
        <v>1380</v>
      </c>
      <c r="E836" t="s">
        <v>51</v>
      </c>
      <c r="F836" t="s">
        <v>92</v>
      </c>
      <c r="G836" t="s">
        <v>178</v>
      </c>
      <c r="H836" t="s">
        <v>29</v>
      </c>
      <c r="I836" t="s">
        <v>94</v>
      </c>
      <c r="J836" t="s">
        <v>106</v>
      </c>
      <c r="K836">
        <v>5</v>
      </c>
      <c r="L836" s="2">
        <v>353813.26</v>
      </c>
      <c r="M836">
        <v>0.05</v>
      </c>
      <c r="N836">
        <v>42961.22</v>
      </c>
    </row>
    <row r="837" spans="1:14" x14ac:dyDescent="0.35">
      <c r="A837" t="s">
        <v>1381</v>
      </c>
      <c r="B837" s="1">
        <v>45967</v>
      </c>
      <c r="C837" t="s">
        <v>136</v>
      </c>
      <c r="D837" t="s">
        <v>133</v>
      </c>
      <c r="E837" t="s">
        <v>26</v>
      </c>
      <c r="F837" t="s">
        <v>121</v>
      </c>
      <c r="G837" t="s">
        <v>214</v>
      </c>
      <c r="H837" t="s">
        <v>20</v>
      </c>
      <c r="I837" t="s">
        <v>46</v>
      </c>
      <c r="J837" t="s">
        <v>203</v>
      </c>
      <c r="K837">
        <v>1</v>
      </c>
      <c r="L837" s="2">
        <v>4893.3999999999996</v>
      </c>
      <c r="M837">
        <v>0</v>
      </c>
      <c r="N837">
        <v>502.42</v>
      </c>
    </row>
    <row r="838" spans="1:14" x14ac:dyDescent="0.35">
      <c r="A838" t="s">
        <v>1382</v>
      </c>
      <c r="B838" s="1">
        <v>45968</v>
      </c>
      <c r="C838" t="s">
        <v>814</v>
      </c>
      <c r="D838" t="s">
        <v>692</v>
      </c>
      <c r="E838" t="s">
        <v>51</v>
      </c>
      <c r="F838" t="s">
        <v>99</v>
      </c>
      <c r="G838" t="s">
        <v>231</v>
      </c>
      <c r="H838" t="s">
        <v>29</v>
      </c>
      <c r="I838" t="s">
        <v>94</v>
      </c>
      <c r="J838" t="s">
        <v>106</v>
      </c>
      <c r="K838">
        <v>5</v>
      </c>
      <c r="L838" s="2">
        <v>288246.58</v>
      </c>
      <c r="M838">
        <v>0.2</v>
      </c>
      <c r="N838">
        <v>21659.43</v>
      </c>
    </row>
    <row r="839" spans="1:14" x14ac:dyDescent="0.35">
      <c r="A839" t="s">
        <v>1383</v>
      </c>
      <c r="B839" s="1">
        <v>45968</v>
      </c>
      <c r="C839" t="s">
        <v>157</v>
      </c>
      <c r="D839" t="s">
        <v>109</v>
      </c>
      <c r="E839" t="s">
        <v>26</v>
      </c>
      <c r="F839" t="s">
        <v>44</v>
      </c>
      <c r="G839" t="s">
        <v>45</v>
      </c>
      <c r="H839" t="s">
        <v>20</v>
      </c>
      <c r="I839" t="s">
        <v>21</v>
      </c>
      <c r="J839" t="s">
        <v>197</v>
      </c>
      <c r="K839">
        <v>1</v>
      </c>
      <c r="L839" s="2">
        <v>10520.06</v>
      </c>
      <c r="M839">
        <v>0.1</v>
      </c>
      <c r="N839">
        <v>2138.0500000000002</v>
      </c>
    </row>
    <row r="840" spans="1:14" x14ac:dyDescent="0.35">
      <c r="A840" t="s">
        <v>1384</v>
      </c>
      <c r="B840" s="1">
        <v>45969</v>
      </c>
      <c r="C840" t="s">
        <v>681</v>
      </c>
      <c r="D840" t="s">
        <v>515</v>
      </c>
      <c r="E840" t="s">
        <v>35</v>
      </c>
      <c r="F840" t="s">
        <v>70</v>
      </c>
      <c r="G840" t="s">
        <v>297</v>
      </c>
      <c r="H840" t="s">
        <v>38</v>
      </c>
      <c r="I840" t="s">
        <v>39</v>
      </c>
      <c r="J840" t="s">
        <v>40</v>
      </c>
      <c r="K840">
        <v>4</v>
      </c>
      <c r="L840" s="2">
        <v>1692.4</v>
      </c>
      <c r="M840">
        <v>0.15</v>
      </c>
      <c r="N840">
        <v>263.18</v>
      </c>
    </row>
    <row r="841" spans="1:14" x14ac:dyDescent="0.35">
      <c r="A841" t="s">
        <v>1385</v>
      </c>
      <c r="B841" s="1">
        <v>45969</v>
      </c>
      <c r="C841" t="s">
        <v>1012</v>
      </c>
      <c r="D841" t="s">
        <v>359</v>
      </c>
      <c r="E841" t="s">
        <v>26</v>
      </c>
      <c r="F841" t="s">
        <v>44</v>
      </c>
      <c r="G841" t="s">
        <v>116</v>
      </c>
      <c r="H841" t="s">
        <v>38</v>
      </c>
      <c r="I841" t="s">
        <v>39</v>
      </c>
      <c r="J841" t="s">
        <v>40</v>
      </c>
      <c r="K841">
        <v>2</v>
      </c>
      <c r="L841" s="2">
        <v>978.26</v>
      </c>
      <c r="M841">
        <v>0.05</v>
      </c>
      <c r="N841">
        <v>72.680000000000007</v>
      </c>
    </row>
    <row r="842" spans="1:14" x14ac:dyDescent="0.35">
      <c r="A842" t="s">
        <v>1386</v>
      </c>
      <c r="B842" s="1">
        <v>45970</v>
      </c>
      <c r="C842" t="s">
        <v>659</v>
      </c>
      <c r="D842" t="s">
        <v>296</v>
      </c>
      <c r="E842" t="s">
        <v>35</v>
      </c>
      <c r="F842" t="s">
        <v>110</v>
      </c>
      <c r="G842" t="s">
        <v>111</v>
      </c>
      <c r="H842" t="s">
        <v>20</v>
      </c>
      <c r="I842" t="s">
        <v>65</v>
      </c>
      <c r="J842" t="s">
        <v>66</v>
      </c>
      <c r="K842">
        <v>1</v>
      </c>
      <c r="L842" s="2">
        <v>7800.33</v>
      </c>
      <c r="M842">
        <v>0.15</v>
      </c>
      <c r="N842">
        <v>750.4</v>
      </c>
    </row>
    <row r="843" spans="1:14" x14ac:dyDescent="0.35">
      <c r="A843" t="s">
        <v>1387</v>
      </c>
      <c r="B843" s="1">
        <v>45970</v>
      </c>
      <c r="C843" t="s">
        <v>470</v>
      </c>
      <c r="D843" t="s">
        <v>455</v>
      </c>
      <c r="E843" t="s">
        <v>26</v>
      </c>
      <c r="F843" t="s">
        <v>86</v>
      </c>
      <c r="G843" t="s">
        <v>87</v>
      </c>
      <c r="H843" t="s">
        <v>38</v>
      </c>
      <c r="I843" t="s">
        <v>39</v>
      </c>
      <c r="J843" t="s">
        <v>258</v>
      </c>
      <c r="K843">
        <v>7</v>
      </c>
      <c r="L843" s="2">
        <v>4833.67</v>
      </c>
      <c r="M843">
        <v>0</v>
      </c>
      <c r="N843">
        <v>300.73</v>
      </c>
    </row>
    <row r="844" spans="1:14" x14ac:dyDescent="0.35">
      <c r="A844" t="s">
        <v>1388</v>
      </c>
      <c r="B844" s="1">
        <v>45970</v>
      </c>
      <c r="C844" t="s">
        <v>867</v>
      </c>
      <c r="D844" t="s">
        <v>412</v>
      </c>
      <c r="E844" t="s">
        <v>26</v>
      </c>
      <c r="F844" t="s">
        <v>121</v>
      </c>
      <c r="G844" t="s">
        <v>122</v>
      </c>
      <c r="H844" t="s">
        <v>20</v>
      </c>
      <c r="I844" t="s">
        <v>21</v>
      </c>
      <c r="J844" t="s">
        <v>197</v>
      </c>
      <c r="K844">
        <v>4</v>
      </c>
      <c r="L844" s="2">
        <v>38498.31</v>
      </c>
      <c r="M844">
        <v>0.15</v>
      </c>
      <c r="N844">
        <v>6062.35</v>
      </c>
    </row>
    <row r="845" spans="1:14" x14ac:dyDescent="0.35">
      <c r="A845" t="s">
        <v>1389</v>
      </c>
      <c r="B845" s="1">
        <v>45970</v>
      </c>
      <c r="C845" t="s">
        <v>1390</v>
      </c>
      <c r="D845" t="s">
        <v>296</v>
      </c>
      <c r="E845" t="s">
        <v>26</v>
      </c>
      <c r="F845" t="s">
        <v>121</v>
      </c>
      <c r="G845" t="s">
        <v>214</v>
      </c>
      <c r="H845" t="s">
        <v>29</v>
      </c>
      <c r="I845" t="s">
        <v>58</v>
      </c>
      <c r="J845" t="s">
        <v>300</v>
      </c>
      <c r="K845">
        <v>7</v>
      </c>
      <c r="L845" s="2">
        <v>10432.1</v>
      </c>
      <c r="M845">
        <v>0</v>
      </c>
      <c r="N845">
        <v>1201.4000000000001</v>
      </c>
    </row>
    <row r="846" spans="1:14" x14ac:dyDescent="0.35">
      <c r="A846" t="s">
        <v>1391</v>
      </c>
      <c r="B846" s="1">
        <v>45970</v>
      </c>
      <c r="C846" t="s">
        <v>314</v>
      </c>
      <c r="D846" t="s">
        <v>1084</v>
      </c>
      <c r="E846" t="s">
        <v>51</v>
      </c>
      <c r="F846" t="s">
        <v>63</v>
      </c>
      <c r="G846" t="s">
        <v>324</v>
      </c>
      <c r="H846" t="s">
        <v>29</v>
      </c>
      <c r="I846" t="s">
        <v>94</v>
      </c>
      <c r="J846" t="s">
        <v>138</v>
      </c>
      <c r="K846">
        <v>1</v>
      </c>
      <c r="L846" s="2">
        <v>43351.13</v>
      </c>
      <c r="M846">
        <v>0.05</v>
      </c>
      <c r="N846">
        <v>9569.5499999999993</v>
      </c>
    </row>
    <row r="847" spans="1:14" x14ac:dyDescent="0.35">
      <c r="A847" t="s">
        <v>1392</v>
      </c>
      <c r="B847" s="1">
        <v>45971</v>
      </c>
      <c r="C847" t="s">
        <v>479</v>
      </c>
      <c r="D847" t="s">
        <v>171</v>
      </c>
      <c r="E847" t="s">
        <v>35</v>
      </c>
      <c r="F847" t="s">
        <v>36</v>
      </c>
      <c r="G847" t="s">
        <v>37</v>
      </c>
      <c r="H847" t="s">
        <v>29</v>
      </c>
      <c r="I847" t="s">
        <v>94</v>
      </c>
      <c r="J847" t="s">
        <v>95</v>
      </c>
      <c r="K847">
        <v>3</v>
      </c>
      <c r="L847" s="2">
        <v>184908.43</v>
      </c>
      <c r="M847">
        <v>0.05</v>
      </c>
      <c r="N847">
        <v>28621.360000000001</v>
      </c>
    </row>
    <row r="848" spans="1:14" x14ac:dyDescent="0.35">
      <c r="A848" t="s">
        <v>1393</v>
      </c>
      <c r="B848" s="1">
        <v>45971</v>
      </c>
      <c r="C848" t="s">
        <v>331</v>
      </c>
      <c r="D848" t="s">
        <v>508</v>
      </c>
      <c r="E848" t="s">
        <v>51</v>
      </c>
      <c r="F848" t="s">
        <v>63</v>
      </c>
      <c r="G848" t="s">
        <v>64</v>
      </c>
      <c r="H848" t="s">
        <v>20</v>
      </c>
      <c r="I848" t="s">
        <v>46</v>
      </c>
      <c r="J848" t="s">
        <v>130</v>
      </c>
      <c r="K848">
        <v>3</v>
      </c>
      <c r="L848" s="2">
        <v>24390.29</v>
      </c>
      <c r="M848">
        <v>0.05</v>
      </c>
      <c r="N848">
        <v>2477.5</v>
      </c>
    </row>
    <row r="849" spans="1:14" x14ac:dyDescent="0.35">
      <c r="A849" t="s">
        <v>1394</v>
      </c>
      <c r="B849" s="1">
        <v>45971</v>
      </c>
      <c r="C849" t="s">
        <v>925</v>
      </c>
      <c r="D849" t="s">
        <v>1167</v>
      </c>
      <c r="E849" t="s">
        <v>17</v>
      </c>
      <c r="F849" t="s">
        <v>76</v>
      </c>
      <c r="G849" t="s">
        <v>77</v>
      </c>
      <c r="H849" t="s">
        <v>38</v>
      </c>
      <c r="I849" t="s">
        <v>78</v>
      </c>
      <c r="J849" t="s">
        <v>174</v>
      </c>
      <c r="K849">
        <v>3</v>
      </c>
      <c r="L849" s="2">
        <v>1315.5</v>
      </c>
      <c r="M849">
        <v>0.05</v>
      </c>
      <c r="N849">
        <v>196.72</v>
      </c>
    </row>
    <row r="850" spans="1:14" x14ac:dyDescent="0.35">
      <c r="A850" t="s">
        <v>1395</v>
      </c>
      <c r="B850" s="1">
        <v>45971</v>
      </c>
      <c r="C850" t="s">
        <v>637</v>
      </c>
      <c r="D850" t="s">
        <v>970</v>
      </c>
      <c r="E850" t="s">
        <v>26</v>
      </c>
      <c r="F850" t="s">
        <v>27</v>
      </c>
      <c r="G850" t="s">
        <v>267</v>
      </c>
      <c r="H850" t="s">
        <v>20</v>
      </c>
      <c r="I850" t="s">
        <v>21</v>
      </c>
      <c r="J850" t="s">
        <v>22</v>
      </c>
      <c r="K850">
        <v>6</v>
      </c>
      <c r="L850" s="2">
        <v>42111.25</v>
      </c>
      <c r="M850">
        <v>0</v>
      </c>
      <c r="N850">
        <v>7253.79</v>
      </c>
    </row>
    <row r="851" spans="1:14" x14ac:dyDescent="0.35">
      <c r="A851" t="s">
        <v>1396</v>
      </c>
      <c r="B851" s="1">
        <v>45972</v>
      </c>
      <c r="C851" t="s">
        <v>632</v>
      </c>
      <c r="D851" t="s">
        <v>165</v>
      </c>
      <c r="E851" t="s">
        <v>26</v>
      </c>
      <c r="F851" t="s">
        <v>121</v>
      </c>
      <c r="G851" t="s">
        <v>122</v>
      </c>
      <c r="H851" t="s">
        <v>20</v>
      </c>
      <c r="I851" t="s">
        <v>46</v>
      </c>
      <c r="J851" t="s">
        <v>203</v>
      </c>
      <c r="K851">
        <v>3</v>
      </c>
      <c r="L851" s="2">
        <v>11696.46</v>
      </c>
      <c r="M851">
        <v>0.2</v>
      </c>
      <c r="N851">
        <v>1344.88</v>
      </c>
    </row>
    <row r="852" spans="1:14" x14ac:dyDescent="0.35">
      <c r="A852" t="s">
        <v>1397</v>
      </c>
      <c r="B852" s="1">
        <v>45973</v>
      </c>
      <c r="C852" t="s">
        <v>611</v>
      </c>
      <c r="D852" t="s">
        <v>417</v>
      </c>
      <c r="E852" t="s">
        <v>51</v>
      </c>
      <c r="F852" t="s">
        <v>63</v>
      </c>
      <c r="G852" t="s">
        <v>324</v>
      </c>
      <c r="H852" t="s">
        <v>38</v>
      </c>
      <c r="I852" t="s">
        <v>39</v>
      </c>
      <c r="J852" t="s">
        <v>134</v>
      </c>
      <c r="K852">
        <v>2</v>
      </c>
      <c r="L852" s="2">
        <v>1365.56</v>
      </c>
      <c r="M852">
        <v>0.15</v>
      </c>
      <c r="N852">
        <v>229.21</v>
      </c>
    </row>
    <row r="853" spans="1:14" x14ac:dyDescent="0.35">
      <c r="A853" t="s">
        <v>1398</v>
      </c>
      <c r="B853" s="1">
        <v>45973</v>
      </c>
      <c r="C853" t="s">
        <v>427</v>
      </c>
      <c r="D853" t="s">
        <v>906</v>
      </c>
      <c r="E853" t="s">
        <v>26</v>
      </c>
      <c r="F853" t="s">
        <v>27</v>
      </c>
      <c r="G853" t="s">
        <v>267</v>
      </c>
      <c r="H853" t="s">
        <v>20</v>
      </c>
      <c r="I853" t="s">
        <v>46</v>
      </c>
      <c r="J853" t="s">
        <v>203</v>
      </c>
      <c r="K853">
        <v>2</v>
      </c>
      <c r="L853" s="2">
        <v>9582.4</v>
      </c>
      <c r="M853">
        <v>0</v>
      </c>
      <c r="N853">
        <v>1060.1099999999999</v>
      </c>
    </row>
    <row r="854" spans="1:14" x14ac:dyDescent="0.35">
      <c r="A854" t="s">
        <v>1399</v>
      </c>
      <c r="B854" s="1">
        <v>45973</v>
      </c>
      <c r="C854" t="s">
        <v>681</v>
      </c>
      <c r="D854" t="s">
        <v>161</v>
      </c>
      <c r="E854" t="s">
        <v>35</v>
      </c>
      <c r="F854" t="s">
        <v>110</v>
      </c>
      <c r="G854" t="s">
        <v>111</v>
      </c>
      <c r="H854" t="s">
        <v>38</v>
      </c>
      <c r="I854" t="s">
        <v>39</v>
      </c>
      <c r="J854" t="s">
        <v>134</v>
      </c>
      <c r="K854">
        <v>2</v>
      </c>
      <c r="L854" s="2">
        <v>1498.72</v>
      </c>
      <c r="M854">
        <v>0.05</v>
      </c>
      <c r="N854">
        <v>258.54000000000002</v>
      </c>
    </row>
    <row r="855" spans="1:14" x14ac:dyDescent="0.35">
      <c r="A855" t="s">
        <v>1400</v>
      </c>
      <c r="B855" s="1">
        <v>45973</v>
      </c>
      <c r="C855" t="s">
        <v>933</v>
      </c>
      <c r="D855" t="s">
        <v>616</v>
      </c>
      <c r="E855" t="s">
        <v>26</v>
      </c>
      <c r="F855" t="s">
        <v>44</v>
      </c>
      <c r="G855" t="s">
        <v>45</v>
      </c>
      <c r="H855" t="s">
        <v>20</v>
      </c>
      <c r="I855" t="s">
        <v>21</v>
      </c>
      <c r="J855" t="s">
        <v>72</v>
      </c>
      <c r="K855">
        <v>7</v>
      </c>
      <c r="L855" s="2">
        <v>19538.57</v>
      </c>
      <c r="M855">
        <v>0</v>
      </c>
      <c r="N855">
        <v>4509.49</v>
      </c>
    </row>
    <row r="856" spans="1:14" x14ac:dyDescent="0.35">
      <c r="A856" t="s">
        <v>1401</v>
      </c>
      <c r="B856" s="1">
        <v>45974</v>
      </c>
      <c r="C856" t="s">
        <v>1402</v>
      </c>
      <c r="D856" t="s">
        <v>274</v>
      </c>
      <c r="E856" t="s">
        <v>35</v>
      </c>
      <c r="F856" t="s">
        <v>128</v>
      </c>
      <c r="G856" t="s">
        <v>129</v>
      </c>
      <c r="H856" t="s">
        <v>20</v>
      </c>
      <c r="I856" t="s">
        <v>46</v>
      </c>
      <c r="J856" t="s">
        <v>130</v>
      </c>
      <c r="K856">
        <v>6</v>
      </c>
      <c r="L856" s="2">
        <v>48857.47</v>
      </c>
      <c r="M856">
        <v>0.1</v>
      </c>
      <c r="N856">
        <v>9317.48</v>
      </c>
    </row>
    <row r="857" spans="1:14" x14ac:dyDescent="0.35">
      <c r="A857" t="s">
        <v>1403</v>
      </c>
      <c r="B857" s="1">
        <v>45974</v>
      </c>
      <c r="C857" t="s">
        <v>1193</v>
      </c>
      <c r="D857" t="s">
        <v>145</v>
      </c>
      <c r="E857" t="s">
        <v>26</v>
      </c>
      <c r="F857" t="s">
        <v>121</v>
      </c>
      <c r="G857" t="s">
        <v>214</v>
      </c>
      <c r="H857" t="s">
        <v>20</v>
      </c>
      <c r="I857" t="s">
        <v>65</v>
      </c>
      <c r="J857" t="s">
        <v>117</v>
      </c>
      <c r="K857">
        <v>6</v>
      </c>
      <c r="L857" s="2">
        <v>30502.73</v>
      </c>
      <c r="M857">
        <v>0.1</v>
      </c>
      <c r="N857">
        <v>5964.81</v>
      </c>
    </row>
    <row r="858" spans="1:14" x14ac:dyDescent="0.35">
      <c r="A858" t="s">
        <v>1404</v>
      </c>
      <c r="B858" s="1">
        <v>45974</v>
      </c>
      <c r="C858" t="s">
        <v>1159</v>
      </c>
      <c r="D858" t="s">
        <v>720</v>
      </c>
      <c r="E858" t="s">
        <v>51</v>
      </c>
      <c r="F858" t="s">
        <v>92</v>
      </c>
      <c r="G858" t="s">
        <v>178</v>
      </c>
      <c r="H858" t="s">
        <v>29</v>
      </c>
      <c r="I858" t="s">
        <v>58</v>
      </c>
      <c r="J858" t="s">
        <v>300</v>
      </c>
      <c r="K858">
        <v>6</v>
      </c>
      <c r="L858" s="2">
        <v>7494.85</v>
      </c>
      <c r="M858">
        <v>0.15</v>
      </c>
      <c r="N858">
        <v>1077.44</v>
      </c>
    </row>
    <row r="859" spans="1:14" x14ac:dyDescent="0.35">
      <c r="A859" t="s">
        <v>1405</v>
      </c>
      <c r="B859" s="1">
        <v>45975</v>
      </c>
      <c r="C859" t="s">
        <v>514</v>
      </c>
      <c r="D859" t="s">
        <v>770</v>
      </c>
      <c r="E859" t="s">
        <v>26</v>
      </c>
      <c r="F859" t="s">
        <v>121</v>
      </c>
      <c r="G859" t="s">
        <v>122</v>
      </c>
      <c r="H859" t="s">
        <v>20</v>
      </c>
      <c r="I859" t="s">
        <v>65</v>
      </c>
      <c r="J859" t="s">
        <v>117</v>
      </c>
      <c r="K859">
        <v>6</v>
      </c>
      <c r="L859" s="2">
        <v>28132.99</v>
      </c>
      <c r="M859">
        <v>0.2</v>
      </c>
      <c r="N859">
        <v>3755.58</v>
      </c>
    </row>
    <row r="860" spans="1:14" x14ac:dyDescent="0.35">
      <c r="A860" t="s">
        <v>1406</v>
      </c>
      <c r="B860" s="1">
        <v>45975</v>
      </c>
      <c r="C860" t="s">
        <v>640</v>
      </c>
      <c r="D860" t="s">
        <v>467</v>
      </c>
      <c r="E860" t="s">
        <v>51</v>
      </c>
      <c r="F860" t="s">
        <v>92</v>
      </c>
      <c r="G860" t="s">
        <v>178</v>
      </c>
      <c r="H860" t="s">
        <v>38</v>
      </c>
      <c r="I860" t="s">
        <v>218</v>
      </c>
      <c r="J860" t="s">
        <v>225</v>
      </c>
      <c r="K860">
        <v>6</v>
      </c>
      <c r="L860" s="2">
        <v>1222.33</v>
      </c>
      <c r="M860">
        <v>0.2</v>
      </c>
      <c r="N860">
        <v>78.63</v>
      </c>
    </row>
    <row r="861" spans="1:14" x14ac:dyDescent="0.35">
      <c r="A861" t="s">
        <v>1407</v>
      </c>
      <c r="B861" s="1">
        <v>45975</v>
      </c>
      <c r="C861" t="s">
        <v>326</v>
      </c>
      <c r="D861" t="s">
        <v>290</v>
      </c>
      <c r="E861" t="s">
        <v>17</v>
      </c>
      <c r="F861" t="s">
        <v>210</v>
      </c>
      <c r="G861" t="s">
        <v>211</v>
      </c>
      <c r="H861" t="s">
        <v>20</v>
      </c>
      <c r="I861" t="s">
        <v>65</v>
      </c>
      <c r="J861" t="s">
        <v>66</v>
      </c>
      <c r="K861">
        <v>2</v>
      </c>
      <c r="L861" s="2">
        <v>20077.330000000002</v>
      </c>
      <c r="M861">
        <v>0</v>
      </c>
      <c r="N861">
        <v>2983.69</v>
      </c>
    </row>
    <row r="862" spans="1:14" x14ac:dyDescent="0.35">
      <c r="A862" t="s">
        <v>1408</v>
      </c>
      <c r="B862" s="1">
        <v>45976</v>
      </c>
      <c r="C862" t="s">
        <v>611</v>
      </c>
      <c r="D862" t="s">
        <v>366</v>
      </c>
      <c r="E862" t="s">
        <v>17</v>
      </c>
      <c r="F862" t="s">
        <v>210</v>
      </c>
      <c r="G862" t="s">
        <v>211</v>
      </c>
      <c r="H862" t="s">
        <v>29</v>
      </c>
      <c r="I862" t="s">
        <v>30</v>
      </c>
      <c r="J862" t="s">
        <v>31</v>
      </c>
      <c r="K862">
        <v>2</v>
      </c>
      <c r="L862" s="2">
        <v>28762.35</v>
      </c>
      <c r="M862">
        <v>0.15</v>
      </c>
      <c r="N862">
        <v>5630.27</v>
      </c>
    </row>
    <row r="863" spans="1:14" x14ac:dyDescent="0.35">
      <c r="A863" t="s">
        <v>1409</v>
      </c>
      <c r="B863" s="1">
        <v>45976</v>
      </c>
      <c r="C863" t="s">
        <v>859</v>
      </c>
      <c r="D863" t="s">
        <v>687</v>
      </c>
      <c r="E863" t="s">
        <v>26</v>
      </c>
      <c r="F863" t="s">
        <v>27</v>
      </c>
      <c r="G863" t="s">
        <v>249</v>
      </c>
      <c r="H863" t="s">
        <v>38</v>
      </c>
      <c r="I863" t="s">
        <v>78</v>
      </c>
      <c r="J863" t="s">
        <v>174</v>
      </c>
      <c r="K863">
        <v>4</v>
      </c>
      <c r="L863" s="2">
        <v>1618.67</v>
      </c>
      <c r="M863">
        <v>0.15</v>
      </c>
      <c r="N863">
        <v>140.01</v>
      </c>
    </row>
    <row r="864" spans="1:14" x14ac:dyDescent="0.35">
      <c r="A864" t="s">
        <v>1410</v>
      </c>
      <c r="B864" s="1">
        <v>45976</v>
      </c>
      <c r="C864" t="s">
        <v>781</v>
      </c>
      <c r="D864" t="s">
        <v>519</v>
      </c>
      <c r="E864" t="s">
        <v>26</v>
      </c>
      <c r="F864" t="s">
        <v>27</v>
      </c>
      <c r="G864" t="s">
        <v>249</v>
      </c>
      <c r="H864" t="s">
        <v>29</v>
      </c>
      <c r="I864" t="s">
        <v>94</v>
      </c>
      <c r="J864" t="s">
        <v>106</v>
      </c>
      <c r="K864">
        <v>7</v>
      </c>
      <c r="L864" s="2">
        <v>456458.84</v>
      </c>
      <c r="M864">
        <v>0.2</v>
      </c>
      <c r="N864">
        <v>10723.23</v>
      </c>
    </row>
    <row r="865" spans="1:14" x14ac:dyDescent="0.35">
      <c r="A865" t="s">
        <v>1411</v>
      </c>
      <c r="B865" s="1">
        <v>45977</v>
      </c>
      <c r="C865" t="s">
        <v>333</v>
      </c>
      <c r="D865" t="s">
        <v>16</v>
      </c>
      <c r="E865" t="s">
        <v>51</v>
      </c>
      <c r="F865" t="s">
        <v>92</v>
      </c>
      <c r="G865" t="s">
        <v>93</v>
      </c>
      <c r="H865" t="s">
        <v>20</v>
      </c>
      <c r="I865" t="s">
        <v>46</v>
      </c>
      <c r="J865" t="s">
        <v>130</v>
      </c>
      <c r="K865">
        <v>1</v>
      </c>
      <c r="L865" s="2">
        <v>9113.94</v>
      </c>
      <c r="M865">
        <v>0</v>
      </c>
      <c r="N865">
        <v>2178.85</v>
      </c>
    </row>
    <row r="866" spans="1:14" x14ac:dyDescent="0.35">
      <c r="A866" t="s">
        <v>1412</v>
      </c>
      <c r="B866" s="1">
        <v>45977</v>
      </c>
      <c r="C866" t="s">
        <v>1026</v>
      </c>
      <c r="D866" t="s">
        <v>279</v>
      </c>
      <c r="E866" t="s">
        <v>51</v>
      </c>
      <c r="F866" t="s">
        <v>52</v>
      </c>
      <c r="G866" t="s">
        <v>53</v>
      </c>
      <c r="H866" t="s">
        <v>29</v>
      </c>
      <c r="I866" t="s">
        <v>94</v>
      </c>
      <c r="J866" t="s">
        <v>95</v>
      </c>
      <c r="K866">
        <v>2</v>
      </c>
      <c r="L866" s="2">
        <v>105208.65</v>
      </c>
      <c r="M866">
        <v>0.1</v>
      </c>
      <c r="N866">
        <v>17555.46</v>
      </c>
    </row>
    <row r="867" spans="1:14" x14ac:dyDescent="0.35">
      <c r="A867" t="s">
        <v>1413</v>
      </c>
      <c r="B867" s="1">
        <v>45977</v>
      </c>
      <c r="C867" t="s">
        <v>176</v>
      </c>
      <c r="D867" t="s">
        <v>889</v>
      </c>
      <c r="E867" t="s">
        <v>26</v>
      </c>
      <c r="F867" t="s">
        <v>121</v>
      </c>
      <c r="G867" t="s">
        <v>122</v>
      </c>
      <c r="H867" t="s">
        <v>38</v>
      </c>
      <c r="I867" t="s">
        <v>78</v>
      </c>
      <c r="J867" t="s">
        <v>307</v>
      </c>
      <c r="K867">
        <v>5</v>
      </c>
      <c r="L867" s="2">
        <v>2913.7</v>
      </c>
      <c r="M867">
        <v>0</v>
      </c>
      <c r="N867">
        <v>451.33</v>
      </c>
    </row>
    <row r="868" spans="1:14" x14ac:dyDescent="0.35">
      <c r="A868" t="s">
        <v>1414</v>
      </c>
      <c r="B868" s="1">
        <v>45977</v>
      </c>
      <c r="C868" t="s">
        <v>1058</v>
      </c>
      <c r="D868" t="s">
        <v>91</v>
      </c>
      <c r="E868" t="s">
        <v>17</v>
      </c>
      <c r="F868" t="s">
        <v>76</v>
      </c>
      <c r="G868" t="s">
        <v>77</v>
      </c>
      <c r="H868" t="s">
        <v>20</v>
      </c>
      <c r="I868" t="s">
        <v>21</v>
      </c>
      <c r="J868" t="s">
        <v>72</v>
      </c>
      <c r="K868">
        <v>1</v>
      </c>
      <c r="L868" s="2">
        <v>2942.03</v>
      </c>
      <c r="M868">
        <v>0</v>
      </c>
      <c r="N868">
        <v>667.14</v>
      </c>
    </row>
    <row r="869" spans="1:14" x14ac:dyDescent="0.35">
      <c r="A869" t="s">
        <v>1415</v>
      </c>
      <c r="B869" s="1">
        <v>45977</v>
      </c>
      <c r="C869" t="s">
        <v>647</v>
      </c>
      <c r="D869" t="s">
        <v>359</v>
      </c>
      <c r="E869" t="s">
        <v>26</v>
      </c>
      <c r="F869" t="s">
        <v>27</v>
      </c>
      <c r="G869" t="s">
        <v>249</v>
      </c>
      <c r="H869" t="s">
        <v>20</v>
      </c>
      <c r="I869" t="s">
        <v>21</v>
      </c>
      <c r="J869" t="s">
        <v>72</v>
      </c>
      <c r="K869">
        <v>2</v>
      </c>
      <c r="L869" s="2">
        <v>5444.74</v>
      </c>
      <c r="M869">
        <v>0.05</v>
      </c>
      <c r="N869">
        <v>615.77</v>
      </c>
    </row>
    <row r="870" spans="1:14" x14ac:dyDescent="0.35">
      <c r="A870" t="s">
        <v>1416</v>
      </c>
      <c r="B870" s="1">
        <v>45978</v>
      </c>
      <c r="C870" t="s">
        <v>545</v>
      </c>
      <c r="D870" t="s">
        <v>50</v>
      </c>
      <c r="E870" t="s">
        <v>17</v>
      </c>
      <c r="F870" t="s">
        <v>76</v>
      </c>
      <c r="G870" t="s">
        <v>77</v>
      </c>
      <c r="H870" t="s">
        <v>38</v>
      </c>
      <c r="I870" t="s">
        <v>218</v>
      </c>
      <c r="J870" t="s">
        <v>225</v>
      </c>
      <c r="K870">
        <v>3</v>
      </c>
      <c r="L870" s="2">
        <v>651.71</v>
      </c>
      <c r="M870">
        <v>0.15</v>
      </c>
      <c r="N870">
        <v>119.67</v>
      </c>
    </row>
    <row r="871" spans="1:14" x14ac:dyDescent="0.35">
      <c r="A871" t="s">
        <v>1417</v>
      </c>
      <c r="B871" s="1">
        <v>45978</v>
      </c>
      <c r="C871" t="s">
        <v>821</v>
      </c>
      <c r="D871" t="s">
        <v>543</v>
      </c>
      <c r="E871" t="s">
        <v>26</v>
      </c>
      <c r="F871" t="s">
        <v>121</v>
      </c>
      <c r="G871" t="s">
        <v>122</v>
      </c>
      <c r="H871" t="s">
        <v>20</v>
      </c>
      <c r="I871" t="s">
        <v>21</v>
      </c>
      <c r="J871" t="s">
        <v>72</v>
      </c>
      <c r="K871">
        <v>7</v>
      </c>
      <c r="L871" s="2">
        <v>21725.67</v>
      </c>
      <c r="M871">
        <v>0</v>
      </c>
      <c r="N871">
        <v>3880.34</v>
      </c>
    </row>
    <row r="872" spans="1:14" x14ac:dyDescent="0.35">
      <c r="A872" t="s">
        <v>1418</v>
      </c>
      <c r="B872" s="1">
        <v>45979</v>
      </c>
      <c r="C872" t="s">
        <v>411</v>
      </c>
      <c r="D872" t="s">
        <v>428</v>
      </c>
      <c r="E872" t="s">
        <v>51</v>
      </c>
      <c r="F872" t="s">
        <v>92</v>
      </c>
      <c r="G872" t="s">
        <v>93</v>
      </c>
      <c r="H872" t="s">
        <v>38</v>
      </c>
      <c r="I872" t="s">
        <v>78</v>
      </c>
      <c r="J872" t="s">
        <v>79</v>
      </c>
      <c r="K872">
        <v>7</v>
      </c>
      <c r="L872" s="2">
        <v>1996.61</v>
      </c>
      <c r="M872">
        <v>0.15</v>
      </c>
      <c r="N872">
        <v>231.78</v>
      </c>
    </row>
    <row r="873" spans="1:14" x14ac:dyDescent="0.35">
      <c r="A873" t="s">
        <v>1419</v>
      </c>
      <c r="B873" s="1">
        <v>45979</v>
      </c>
      <c r="C873" t="s">
        <v>286</v>
      </c>
      <c r="D873" t="s">
        <v>98</v>
      </c>
      <c r="E873" t="s">
        <v>35</v>
      </c>
      <c r="F873" t="s">
        <v>128</v>
      </c>
      <c r="G873" t="s">
        <v>354</v>
      </c>
      <c r="H873" t="s">
        <v>38</v>
      </c>
      <c r="I873" t="s">
        <v>218</v>
      </c>
      <c r="J873" t="s">
        <v>225</v>
      </c>
      <c r="K873">
        <v>7</v>
      </c>
      <c r="L873" s="2">
        <v>1520.52</v>
      </c>
      <c r="M873">
        <v>0.1</v>
      </c>
      <c r="N873">
        <v>250.73</v>
      </c>
    </row>
    <row r="874" spans="1:14" x14ac:dyDescent="0.35">
      <c r="A874" t="s">
        <v>1420</v>
      </c>
      <c r="B874" s="1">
        <v>45980</v>
      </c>
      <c r="C874" t="s">
        <v>242</v>
      </c>
      <c r="D874" t="s">
        <v>329</v>
      </c>
      <c r="E874" t="s">
        <v>17</v>
      </c>
      <c r="F874" t="s">
        <v>210</v>
      </c>
      <c r="G874" t="s">
        <v>211</v>
      </c>
      <c r="H874" t="s">
        <v>20</v>
      </c>
      <c r="I874" t="s">
        <v>46</v>
      </c>
      <c r="J874" t="s">
        <v>130</v>
      </c>
      <c r="K874">
        <v>2</v>
      </c>
      <c r="L874" s="2">
        <v>14783.42</v>
      </c>
      <c r="M874">
        <v>0.15</v>
      </c>
      <c r="N874">
        <v>2175.09</v>
      </c>
    </row>
    <row r="875" spans="1:14" x14ac:dyDescent="0.35">
      <c r="A875" t="s">
        <v>1421</v>
      </c>
      <c r="B875" s="1">
        <v>45981</v>
      </c>
      <c r="C875" t="s">
        <v>697</v>
      </c>
      <c r="D875" t="s">
        <v>446</v>
      </c>
      <c r="E875" t="s">
        <v>35</v>
      </c>
      <c r="F875" t="s">
        <v>110</v>
      </c>
      <c r="G875" t="s">
        <v>111</v>
      </c>
      <c r="H875" t="s">
        <v>29</v>
      </c>
      <c r="I875" t="s">
        <v>30</v>
      </c>
      <c r="J875" t="s">
        <v>182</v>
      </c>
      <c r="K875">
        <v>4</v>
      </c>
      <c r="L875" s="2">
        <v>157082.88</v>
      </c>
      <c r="M875">
        <v>0</v>
      </c>
      <c r="N875">
        <v>35144.6</v>
      </c>
    </row>
    <row r="876" spans="1:14" x14ac:dyDescent="0.35">
      <c r="A876" t="s">
        <v>1422</v>
      </c>
      <c r="B876" s="1">
        <v>45981</v>
      </c>
      <c r="C876" t="s">
        <v>114</v>
      </c>
      <c r="D876" t="s">
        <v>692</v>
      </c>
      <c r="E876" t="s">
        <v>17</v>
      </c>
      <c r="F876" t="s">
        <v>76</v>
      </c>
      <c r="G876" t="s">
        <v>77</v>
      </c>
      <c r="H876" t="s">
        <v>20</v>
      </c>
      <c r="I876" t="s">
        <v>21</v>
      </c>
      <c r="J876" t="s">
        <v>22</v>
      </c>
      <c r="K876">
        <v>1</v>
      </c>
      <c r="L876" s="2">
        <v>6267.68</v>
      </c>
      <c r="M876">
        <v>0.05</v>
      </c>
      <c r="N876">
        <v>350.4</v>
      </c>
    </row>
    <row r="877" spans="1:14" x14ac:dyDescent="0.35">
      <c r="A877" t="s">
        <v>1423</v>
      </c>
      <c r="B877" s="1">
        <v>45981</v>
      </c>
      <c r="C877" t="s">
        <v>286</v>
      </c>
      <c r="D877" t="s">
        <v>901</v>
      </c>
      <c r="E877" t="s">
        <v>26</v>
      </c>
      <c r="F877" t="s">
        <v>86</v>
      </c>
      <c r="G877" t="s">
        <v>87</v>
      </c>
      <c r="H877" t="s">
        <v>38</v>
      </c>
      <c r="I877" t="s">
        <v>218</v>
      </c>
      <c r="J877" t="s">
        <v>219</v>
      </c>
      <c r="K877">
        <v>6</v>
      </c>
      <c r="L877" s="2">
        <v>1458.39</v>
      </c>
      <c r="M877">
        <v>0.2</v>
      </c>
      <c r="N877">
        <v>143.85</v>
      </c>
    </row>
    <row r="878" spans="1:14" x14ac:dyDescent="0.35">
      <c r="A878" t="s">
        <v>1424</v>
      </c>
      <c r="B878" s="1">
        <v>45982</v>
      </c>
      <c r="C878" t="s">
        <v>504</v>
      </c>
      <c r="D878" t="s">
        <v>1425</v>
      </c>
      <c r="E878" t="s">
        <v>26</v>
      </c>
      <c r="F878" t="s">
        <v>121</v>
      </c>
      <c r="G878" t="s">
        <v>214</v>
      </c>
      <c r="H878" t="s">
        <v>20</v>
      </c>
      <c r="I878" t="s">
        <v>46</v>
      </c>
      <c r="J878" t="s">
        <v>47</v>
      </c>
      <c r="K878">
        <v>6</v>
      </c>
      <c r="L878" s="2">
        <v>39252.050000000003</v>
      </c>
      <c r="M878">
        <v>0.05</v>
      </c>
      <c r="N878">
        <v>6313.81</v>
      </c>
    </row>
    <row r="879" spans="1:14" x14ac:dyDescent="0.35">
      <c r="A879" t="s">
        <v>1426</v>
      </c>
      <c r="B879" s="1">
        <v>45982</v>
      </c>
      <c r="C879" t="s">
        <v>611</v>
      </c>
      <c r="D879" t="s">
        <v>417</v>
      </c>
      <c r="E879" t="s">
        <v>17</v>
      </c>
      <c r="F879" t="s">
        <v>210</v>
      </c>
      <c r="G879" t="s">
        <v>211</v>
      </c>
      <c r="H879" t="s">
        <v>29</v>
      </c>
      <c r="I879" t="s">
        <v>30</v>
      </c>
      <c r="J879" t="s">
        <v>112</v>
      </c>
      <c r="K879">
        <v>5</v>
      </c>
      <c r="L879" s="2">
        <v>123155.81</v>
      </c>
      <c r="M879">
        <v>0.05</v>
      </c>
      <c r="N879">
        <v>17360.75</v>
      </c>
    </row>
    <row r="880" spans="1:14" x14ac:dyDescent="0.35">
      <c r="A880" t="s">
        <v>1427</v>
      </c>
      <c r="B880" s="1">
        <v>45982</v>
      </c>
      <c r="C880" t="s">
        <v>170</v>
      </c>
      <c r="D880" t="s">
        <v>217</v>
      </c>
      <c r="E880" t="s">
        <v>17</v>
      </c>
      <c r="F880" t="s">
        <v>18</v>
      </c>
      <c r="G880" t="s">
        <v>19</v>
      </c>
      <c r="H880" t="s">
        <v>20</v>
      </c>
      <c r="I880" t="s">
        <v>65</v>
      </c>
      <c r="J880" t="s">
        <v>117</v>
      </c>
      <c r="K880">
        <v>1</v>
      </c>
      <c r="L880" s="2">
        <v>5457.94</v>
      </c>
      <c r="M880">
        <v>0</v>
      </c>
      <c r="N880">
        <v>1244.94</v>
      </c>
    </row>
    <row r="881" spans="1:14" x14ac:dyDescent="0.35">
      <c r="A881" t="s">
        <v>1428</v>
      </c>
      <c r="B881" s="1">
        <v>45982</v>
      </c>
      <c r="C881" t="s">
        <v>409</v>
      </c>
      <c r="D881" t="s">
        <v>336</v>
      </c>
      <c r="E881" t="s">
        <v>17</v>
      </c>
      <c r="F881" t="s">
        <v>185</v>
      </c>
      <c r="G881" t="s">
        <v>186</v>
      </c>
      <c r="H881" t="s">
        <v>29</v>
      </c>
      <c r="I881" t="s">
        <v>58</v>
      </c>
      <c r="J881" t="s">
        <v>300</v>
      </c>
      <c r="K881">
        <v>5</v>
      </c>
      <c r="L881" s="2">
        <v>7363.48</v>
      </c>
      <c r="M881">
        <v>0</v>
      </c>
      <c r="N881">
        <v>1084.45</v>
      </c>
    </row>
    <row r="882" spans="1:14" x14ac:dyDescent="0.35">
      <c r="A882" t="s">
        <v>1429</v>
      </c>
      <c r="B882" s="1">
        <v>45983</v>
      </c>
      <c r="C882" t="s">
        <v>157</v>
      </c>
      <c r="D882" t="s">
        <v>336</v>
      </c>
      <c r="E882" t="s">
        <v>35</v>
      </c>
      <c r="F882" t="s">
        <v>36</v>
      </c>
      <c r="G882" t="s">
        <v>37</v>
      </c>
      <c r="H882" t="s">
        <v>29</v>
      </c>
      <c r="I882" t="s">
        <v>58</v>
      </c>
      <c r="J882" t="s">
        <v>300</v>
      </c>
      <c r="K882">
        <v>7</v>
      </c>
      <c r="L882" s="2">
        <v>9375.44</v>
      </c>
      <c r="M882">
        <v>0.1</v>
      </c>
      <c r="N882">
        <v>1509.17</v>
      </c>
    </row>
    <row r="883" spans="1:14" x14ac:dyDescent="0.35">
      <c r="A883" t="s">
        <v>1430</v>
      </c>
      <c r="B883" s="1">
        <v>45983</v>
      </c>
      <c r="C883" t="s">
        <v>560</v>
      </c>
      <c r="D883" t="s">
        <v>141</v>
      </c>
      <c r="E883" t="s">
        <v>35</v>
      </c>
      <c r="F883" t="s">
        <v>110</v>
      </c>
      <c r="G883" t="s">
        <v>111</v>
      </c>
      <c r="H883" t="s">
        <v>20</v>
      </c>
      <c r="I883" t="s">
        <v>65</v>
      </c>
      <c r="J883" t="s">
        <v>117</v>
      </c>
      <c r="K883">
        <v>5</v>
      </c>
      <c r="L883" s="2">
        <v>26829.279999999999</v>
      </c>
      <c r="M883">
        <v>0.05</v>
      </c>
      <c r="N883">
        <v>4383.5200000000004</v>
      </c>
    </row>
    <row r="884" spans="1:14" x14ac:dyDescent="0.35">
      <c r="A884" t="s">
        <v>1431</v>
      </c>
      <c r="B884" s="1">
        <v>45984</v>
      </c>
      <c r="C884" t="s">
        <v>582</v>
      </c>
      <c r="D884" t="s">
        <v>1078</v>
      </c>
      <c r="E884" t="s">
        <v>26</v>
      </c>
      <c r="F884" t="s">
        <v>86</v>
      </c>
      <c r="G884" t="s">
        <v>87</v>
      </c>
      <c r="H884" t="s">
        <v>29</v>
      </c>
      <c r="I884" t="s">
        <v>30</v>
      </c>
      <c r="J884" t="s">
        <v>112</v>
      </c>
      <c r="K884">
        <v>7</v>
      </c>
      <c r="L884" s="2">
        <v>149289.93</v>
      </c>
      <c r="M884">
        <v>0.2</v>
      </c>
      <c r="N884">
        <v>29714.18</v>
      </c>
    </row>
    <row r="885" spans="1:14" x14ac:dyDescent="0.35">
      <c r="A885" t="s">
        <v>1432</v>
      </c>
      <c r="B885" s="1">
        <v>45985</v>
      </c>
      <c r="C885" t="s">
        <v>445</v>
      </c>
      <c r="D885" t="s">
        <v>391</v>
      </c>
      <c r="E885" t="s">
        <v>26</v>
      </c>
      <c r="F885" t="s">
        <v>86</v>
      </c>
      <c r="G885" t="s">
        <v>87</v>
      </c>
      <c r="H885" t="s">
        <v>38</v>
      </c>
      <c r="I885" t="s">
        <v>218</v>
      </c>
      <c r="J885" t="s">
        <v>219</v>
      </c>
      <c r="K885">
        <v>6</v>
      </c>
      <c r="L885" s="2">
        <v>1636.76</v>
      </c>
      <c r="M885">
        <v>0.15</v>
      </c>
      <c r="N885">
        <v>183.3</v>
      </c>
    </row>
    <row r="886" spans="1:14" x14ac:dyDescent="0.35">
      <c r="A886" t="s">
        <v>1433</v>
      </c>
      <c r="B886" s="1">
        <v>45985</v>
      </c>
      <c r="C886" t="s">
        <v>681</v>
      </c>
      <c r="D886" t="s">
        <v>436</v>
      </c>
      <c r="E886" t="s">
        <v>26</v>
      </c>
      <c r="F886" t="s">
        <v>27</v>
      </c>
      <c r="G886" t="s">
        <v>267</v>
      </c>
      <c r="H886" t="s">
        <v>29</v>
      </c>
      <c r="I886" t="s">
        <v>94</v>
      </c>
      <c r="J886" t="s">
        <v>106</v>
      </c>
      <c r="K886">
        <v>3</v>
      </c>
      <c r="L886" s="2">
        <v>249130.83</v>
      </c>
      <c r="M886">
        <v>0</v>
      </c>
      <c r="N886">
        <v>18026.3</v>
      </c>
    </row>
    <row r="887" spans="1:14" x14ac:dyDescent="0.35">
      <c r="A887" t="s">
        <v>1434</v>
      </c>
      <c r="B887" s="1">
        <v>45985</v>
      </c>
      <c r="C887" t="s">
        <v>623</v>
      </c>
      <c r="D887" t="s">
        <v>349</v>
      </c>
      <c r="E887" t="s">
        <v>26</v>
      </c>
      <c r="F887" t="s">
        <v>27</v>
      </c>
      <c r="G887" t="s">
        <v>249</v>
      </c>
      <c r="H887" t="s">
        <v>29</v>
      </c>
      <c r="I887" t="s">
        <v>30</v>
      </c>
      <c r="J887" t="s">
        <v>31</v>
      </c>
      <c r="K887">
        <v>1</v>
      </c>
      <c r="L887" s="2">
        <v>16993.22</v>
      </c>
      <c r="M887">
        <v>0.05</v>
      </c>
      <c r="N887">
        <v>912.34</v>
      </c>
    </row>
    <row r="888" spans="1:14" x14ac:dyDescent="0.35">
      <c r="A888" t="s">
        <v>1435</v>
      </c>
      <c r="B888" s="1">
        <v>45985</v>
      </c>
      <c r="C888" t="s">
        <v>119</v>
      </c>
      <c r="D888" t="s">
        <v>1152</v>
      </c>
      <c r="E888" t="s">
        <v>35</v>
      </c>
      <c r="F888" t="s">
        <v>36</v>
      </c>
      <c r="G888" t="s">
        <v>37</v>
      </c>
      <c r="H888" t="s">
        <v>29</v>
      </c>
      <c r="I888" t="s">
        <v>58</v>
      </c>
      <c r="J888" t="s">
        <v>88</v>
      </c>
      <c r="K888">
        <v>2</v>
      </c>
      <c r="L888" s="2">
        <v>4719.87</v>
      </c>
      <c r="M888">
        <v>0.05</v>
      </c>
      <c r="N888">
        <v>970.51</v>
      </c>
    </row>
    <row r="889" spans="1:14" x14ac:dyDescent="0.35">
      <c r="A889" t="s">
        <v>1436</v>
      </c>
      <c r="B889" s="1">
        <v>45986</v>
      </c>
      <c r="C889" t="s">
        <v>766</v>
      </c>
      <c r="D889" t="s">
        <v>287</v>
      </c>
      <c r="E889" t="s">
        <v>51</v>
      </c>
      <c r="F889" t="s">
        <v>99</v>
      </c>
      <c r="G889" t="s">
        <v>482</v>
      </c>
      <c r="H889" t="s">
        <v>20</v>
      </c>
      <c r="I889" t="s">
        <v>21</v>
      </c>
      <c r="J889" t="s">
        <v>197</v>
      </c>
      <c r="K889">
        <v>5</v>
      </c>
      <c r="L889" s="2">
        <v>50426.13</v>
      </c>
      <c r="M889">
        <v>0.15</v>
      </c>
      <c r="N889">
        <v>8319.0400000000009</v>
      </c>
    </row>
    <row r="890" spans="1:14" x14ac:dyDescent="0.35">
      <c r="A890" t="s">
        <v>1437</v>
      </c>
      <c r="B890" s="1">
        <v>45987</v>
      </c>
      <c r="C890" t="s">
        <v>42</v>
      </c>
      <c r="D890" t="s">
        <v>717</v>
      </c>
      <c r="E890" t="s">
        <v>51</v>
      </c>
      <c r="F890" t="s">
        <v>63</v>
      </c>
      <c r="G890" t="s">
        <v>324</v>
      </c>
      <c r="H890" t="s">
        <v>38</v>
      </c>
      <c r="I890" t="s">
        <v>78</v>
      </c>
      <c r="J890" t="s">
        <v>174</v>
      </c>
      <c r="K890">
        <v>4</v>
      </c>
      <c r="L890" s="2">
        <v>1734.96</v>
      </c>
      <c r="M890">
        <v>0</v>
      </c>
      <c r="N890">
        <v>204.05</v>
      </c>
    </row>
    <row r="891" spans="1:14" x14ac:dyDescent="0.35">
      <c r="A891" t="s">
        <v>1438</v>
      </c>
      <c r="B891" s="1">
        <v>45987</v>
      </c>
      <c r="C891" t="s">
        <v>1368</v>
      </c>
      <c r="D891" t="s">
        <v>551</v>
      </c>
      <c r="E891" t="s">
        <v>17</v>
      </c>
      <c r="F891" t="s">
        <v>76</v>
      </c>
      <c r="G891" t="s">
        <v>77</v>
      </c>
      <c r="H891" t="s">
        <v>29</v>
      </c>
      <c r="I891" t="s">
        <v>58</v>
      </c>
      <c r="J891" t="s">
        <v>300</v>
      </c>
      <c r="K891">
        <v>4</v>
      </c>
      <c r="L891" s="2">
        <v>4823.04</v>
      </c>
      <c r="M891">
        <v>0.15</v>
      </c>
      <c r="N891">
        <v>611.17999999999995</v>
      </c>
    </row>
    <row r="892" spans="1:14" x14ac:dyDescent="0.35">
      <c r="A892" t="s">
        <v>1439</v>
      </c>
      <c r="B892" s="1">
        <v>45987</v>
      </c>
      <c r="C892" t="s">
        <v>236</v>
      </c>
      <c r="D892" t="s">
        <v>619</v>
      </c>
      <c r="E892" t="s">
        <v>17</v>
      </c>
      <c r="F892" t="s">
        <v>76</v>
      </c>
      <c r="G892" t="s">
        <v>77</v>
      </c>
      <c r="H892" t="s">
        <v>20</v>
      </c>
      <c r="I892" t="s">
        <v>21</v>
      </c>
      <c r="J892" t="s">
        <v>197</v>
      </c>
      <c r="K892">
        <v>5</v>
      </c>
      <c r="L892" s="2">
        <v>55394.79</v>
      </c>
      <c r="M892">
        <v>0.05</v>
      </c>
      <c r="N892">
        <v>3636.47</v>
      </c>
    </row>
    <row r="893" spans="1:14" x14ac:dyDescent="0.35">
      <c r="A893" t="s">
        <v>1440</v>
      </c>
      <c r="B893" s="1">
        <v>45987</v>
      </c>
      <c r="C893" t="s">
        <v>220</v>
      </c>
      <c r="D893" t="s">
        <v>62</v>
      </c>
      <c r="E893" t="s">
        <v>51</v>
      </c>
      <c r="F893" t="s">
        <v>92</v>
      </c>
      <c r="G893" t="s">
        <v>178</v>
      </c>
      <c r="H893" t="s">
        <v>29</v>
      </c>
      <c r="I893" t="s">
        <v>58</v>
      </c>
      <c r="J893" t="s">
        <v>59</v>
      </c>
      <c r="K893">
        <v>1</v>
      </c>
      <c r="L893" s="2">
        <v>845.28</v>
      </c>
      <c r="M893">
        <v>0.05</v>
      </c>
      <c r="N893">
        <v>124.56</v>
      </c>
    </row>
    <row r="894" spans="1:14" x14ac:dyDescent="0.35">
      <c r="A894" t="s">
        <v>1441</v>
      </c>
      <c r="B894" s="1">
        <v>45987</v>
      </c>
      <c r="C894" t="s">
        <v>874</v>
      </c>
      <c r="D894" t="s">
        <v>809</v>
      </c>
      <c r="E894" t="s">
        <v>35</v>
      </c>
      <c r="F894" t="s">
        <v>70</v>
      </c>
      <c r="G894" t="s">
        <v>71</v>
      </c>
      <c r="H894" t="s">
        <v>29</v>
      </c>
      <c r="I894" t="s">
        <v>30</v>
      </c>
      <c r="J894" t="s">
        <v>182</v>
      </c>
      <c r="K894">
        <v>3</v>
      </c>
      <c r="L894" s="2">
        <v>98963.06</v>
      </c>
      <c r="M894">
        <v>0.2</v>
      </c>
      <c r="N894">
        <v>19101.29</v>
      </c>
    </row>
    <row r="895" spans="1:14" x14ac:dyDescent="0.35">
      <c r="A895" t="s">
        <v>1442</v>
      </c>
      <c r="B895" s="1">
        <v>45988</v>
      </c>
      <c r="C895" t="s">
        <v>1133</v>
      </c>
      <c r="D895" t="s">
        <v>168</v>
      </c>
      <c r="E895" t="s">
        <v>51</v>
      </c>
      <c r="F895" t="s">
        <v>99</v>
      </c>
      <c r="G895" t="s">
        <v>231</v>
      </c>
      <c r="H895" t="s">
        <v>29</v>
      </c>
      <c r="I895" t="s">
        <v>58</v>
      </c>
      <c r="J895" t="s">
        <v>300</v>
      </c>
      <c r="K895">
        <v>3</v>
      </c>
      <c r="L895" s="2">
        <v>4434.1899999999996</v>
      </c>
      <c r="M895">
        <v>0.05</v>
      </c>
      <c r="N895">
        <v>705.97</v>
      </c>
    </row>
    <row r="896" spans="1:14" x14ac:dyDescent="0.35">
      <c r="A896" t="s">
        <v>1443</v>
      </c>
      <c r="B896" s="1">
        <v>45988</v>
      </c>
      <c r="C896" t="s">
        <v>262</v>
      </c>
      <c r="D896" t="s">
        <v>1167</v>
      </c>
      <c r="E896" t="s">
        <v>17</v>
      </c>
      <c r="F896" t="s">
        <v>76</v>
      </c>
      <c r="G896" t="s">
        <v>77</v>
      </c>
      <c r="H896" t="s">
        <v>20</v>
      </c>
      <c r="I896" t="s">
        <v>46</v>
      </c>
      <c r="J896" t="s">
        <v>203</v>
      </c>
      <c r="K896">
        <v>4</v>
      </c>
      <c r="L896" s="2">
        <v>19589.34</v>
      </c>
      <c r="M896">
        <v>0.05</v>
      </c>
      <c r="N896">
        <v>2704.86</v>
      </c>
    </row>
    <row r="897" spans="1:14" x14ac:dyDescent="0.35">
      <c r="A897" t="s">
        <v>1444</v>
      </c>
      <c r="B897" s="1">
        <v>45989</v>
      </c>
      <c r="C897" t="s">
        <v>821</v>
      </c>
      <c r="D897" t="s">
        <v>601</v>
      </c>
      <c r="E897" t="s">
        <v>35</v>
      </c>
      <c r="F897" t="s">
        <v>128</v>
      </c>
      <c r="G897" t="s">
        <v>354</v>
      </c>
      <c r="H897" t="s">
        <v>38</v>
      </c>
      <c r="I897" t="s">
        <v>39</v>
      </c>
      <c r="J897" t="s">
        <v>134</v>
      </c>
      <c r="K897">
        <v>3</v>
      </c>
      <c r="L897" s="2">
        <v>1908.76</v>
      </c>
      <c r="M897">
        <v>0.1</v>
      </c>
      <c r="N897">
        <v>392.66</v>
      </c>
    </row>
    <row r="898" spans="1:14" x14ac:dyDescent="0.35">
      <c r="A898" t="s">
        <v>1445</v>
      </c>
      <c r="B898" s="1">
        <v>45989</v>
      </c>
      <c r="C898" t="s">
        <v>859</v>
      </c>
      <c r="D898" t="s">
        <v>161</v>
      </c>
      <c r="E898" t="s">
        <v>17</v>
      </c>
      <c r="F898" t="s">
        <v>18</v>
      </c>
      <c r="G898" t="s">
        <v>19</v>
      </c>
      <c r="H898" t="s">
        <v>20</v>
      </c>
      <c r="I898" t="s">
        <v>65</v>
      </c>
      <c r="J898" t="s">
        <v>66</v>
      </c>
      <c r="K898">
        <v>5</v>
      </c>
      <c r="L898" s="2">
        <v>46916.32</v>
      </c>
      <c r="M898">
        <v>0.05</v>
      </c>
      <c r="N898">
        <v>4104.71</v>
      </c>
    </row>
    <row r="899" spans="1:14" x14ac:dyDescent="0.35">
      <c r="A899" t="s">
        <v>1446</v>
      </c>
      <c r="B899" s="1">
        <v>45989</v>
      </c>
      <c r="C899" t="s">
        <v>382</v>
      </c>
      <c r="D899" t="s">
        <v>145</v>
      </c>
      <c r="E899" t="s">
        <v>17</v>
      </c>
      <c r="F899" t="s">
        <v>210</v>
      </c>
      <c r="G899" t="s">
        <v>211</v>
      </c>
      <c r="H899" t="s">
        <v>29</v>
      </c>
      <c r="I899" t="s">
        <v>30</v>
      </c>
      <c r="J899" t="s">
        <v>31</v>
      </c>
      <c r="K899">
        <v>4</v>
      </c>
      <c r="L899" s="2">
        <v>66256.98</v>
      </c>
      <c r="M899">
        <v>0</v>
      </c>
      <c r="N899">
        <v>12673.77</v>
      </c>
    </row>
    <row r="900" spans="1:14" x14ac:dyDescent="0.35">
      <c r="A900" t="s">
        <v>1447</v>
      </c>
      <c r="B900" s="1">
        <v>45989</v>
      </c>
      <c r="C900" t="s">
        <v>750</v>
      </c>
      <c r="D900" t="s">
        <v>109</v>
      </c>
      <c r="E900" t="s">
        <v>51</v>
      </c>
      <c r="F900" t="s">
        <v>92</v>
      </c>
      <c r="G900" t="s">
        <v>93</v>
      </c>
      <c r="H900" t="s">
        <v>38</v>
      </c>
      <c r="I900" t="s">
        <v>78</v>
      </c>
      <c r="J900" t="s">
        <v>79</v>
      </c>
      <c r="K900">
        <v>7</v>
      </c>
      <c r="L900" s="2">
        <v>2344.7399999999998</v>
      </c>
      <c r="M900">
        <v>0</v>
      </c>
      <c r="N900">
        <v>507.2</v>
      </c>
    </row>
    <row r="901" spans="1:14" x14ac:dyDescent="0.35">
      <c r="A901" t="s">
        <v>1448</v>
      </c>
      <c r="B901" s="1">
        <v>45989</v>
      </c>
      <c r="C901" t="s">
        <v>603</v>
      </c>
      <c r="D901" t="s">
        <v>380</v>
      </c>
      <c r="E901" t="s">
        <v>26</v>
      </c>
      <c r="F901" t="s">
        <v>86</v>
      </c>
      <c r="G901" t="s">
        <v>87</v>
      </c>
      <c r="H901" t="s">
        <v>20</v>
      </c>
      <c r="I901" t="s">
        <v>46</v>
      </c>
      <c r="J901" t="s">
        <v>130</v>
      </c>
      <c r="K901">
        <v>6</v>
      </c>
      <c r="L901" s="2">
        <v>46945.98</v>
      </c>
      <c r="M901">
        <v>0.1</v>
      </c>
      <c r="N901">
        <v>9745.2099999999991</v>
      </c>
    </row>
    <row r="902" spans="1:14" x14ac:dyDescent="0.35">
      <c r="A902" t="s">
        <v>1449</v>
      </c>
      <c r="B902" s="1">
        <v>45990</v>
      </c>
      <c r="C902" t="s">
        <v>1133</v>
      </c>
      <c r="D902" t="s">
        <v>836</v>
      </c>
      <c r="E902" t="s">
        <v>17</v>
      </c>
      <c r="F902" t="s">
        <v>210</v>
      </c>
      <c r="G902" t="s">
        <v>211</v>
      </c>
      <c r="H902" t="s">
        <v>29</v>
      </c>
      <c r="I902" t="s">
        <v>94</v>
      </c>
      <c r="J902" t="s">
        <v>95</v>
      </c>
      <c r="K902">
        <v>5</v>
      </c>
      <c r="L902" s="2">
        <v>312827.53999999998</v>
      </c>
      <c r="M902">
        <v>0</v>
      </c>
      <c r="N902">
        <v>69108.320000000007</v>
      </c>
    </row>
    <row r="903" spans="1:14" x14ac:dyDescent="0.35">
      <c r="A903" t="s">
        <v>1450</v>
      </c>
      <c r="B903" s="1">
        <v>45990</v>
      </c>
      <c r="C903" t="s">
        <v>611</v>
      </c>
      <c r="D903" t="s">
        <v>412</v>
      </c>
      <c r="E903" t="s">
        <v>51</v>
      </c>
      <c r="F903" t="s">
        <v>99</v>
      </c>
      <c r="G903" t="s">
        <v>100</v>
      </c>
      <c r="H903" t="s">
        <v>20</v>
      </c>
      <c r="I903" t="s">
        <v>21</v>
      </c>
      <c r="J903" t="s">
        <v>197</v>
      </c>
      <c r="K903">
        <v>4</v>
      </c>
      <c r="L903" s="2">
        <v>40194.660000000003</v>
      </c>
      <c r="M903">
        <v>0.1</v>
      </c>
      <c r="N903">
        <v>3832.07</v>
      </c>
    </row>
    <row r="904" spans="1:14" x14ac:dyDescent="0.35">
      <c r="A904" t="s">
        <v>1451</v>
      </c>
      <c r="B904" s="1">
        <v>45990</v>
      </c>
      <c r="C904" t="s">
        <v>560</v>
      </c>
      <c r="D904" t="s">
        <v>357</v>
      </c>
      <c r="E904" t="s">
        <v>17</v>
      </c>
      <c r="F904" t="s">
        <v>185</v>
      </c>
      <c r="G904" t="s">
        <v>186</v>
      </c>
      <c r="H904" t="s">
        <v>38</v>
      </c>
      <c r="I904" t="s">
        <v>78</v>
      </c>
      <c r="J904" t="s">
        <v>307</v>
      </c>
      <c r="K904">
        <v>1</v>
      </c>
      <c r="L904" s="2">
        <v>430.73</v>
      </c>
      <c r="M904">
        <v>0.2</v>
      </c>
      <c r="N904">
        <v>37.57</v>
      </c>
    </row>
    <row r="905" spans="1:14" x14ac:dyDescent="0.35">
      <c r="A905" t="s">
        <v>1452</v>
      </c>
      <c r="B905" s="1">
        <v>45990</v>
      </c>
      <c r="C905" t="s">
        <v>472</v>
      </c>
      <c r="D905" t="s">
        <v>1161</v>
      </c>
      <c r="E905" t="s">
        <v>26</v>
      </c>
      <c r="F905" t="s">
        <v>86</v>
      </c>
      <c r="G905" t="s">
        <v>87</v>
      </c>
      <c r="H905" t="s">
        <v>29</v>
      </c>
      <c r="I905" t="s">
        <v>94</v>
      </c>
      <c r="J905" t="s">
        <v>138</v>
      </c>
      <c r="K905">
        <v>2</v>
      </c>
      <c r="L905" s="2">
        <v>92227.54</v>
      </c>
      <c r="M905">
        <v>0.05</v>
      </c>
      <c r="N905">
        <v>8377.9</v>
      </c>
    </row>
    <row r="906" spans="1:14" x14ac:dyDescent="0.35">
      <c r="A906" t="s">
        <v>1453</v>
      </c>
      <c r="B906" s="1">
        <v>45991</v>
      </c>
      <c r="C906" t="s">
        <v>345</v>
      </c>
      <c r="D906" t="s">
        <v>287</v>
      </c>
      <c r="E906" t="s">
        <v>51</v>
      </c>
      <c r="F906" t="s">
        <v>63</v>
      </c>
      <c r="G906" t="s">
        <v>324</v>
      </c>
      <c r="H906" t="s">
        <v>20</v>
      </c>
      <c r="I906" t="s">
        <v>21</v>
      </c>
      <c r="J906" t="s">
        <v>72</v>
      </c>
      <c r="K906">
        <v>5</v>
      </c>
      <c r="L906" s="2">
        <v>14042.47</v>
      </c>
      <c r="M906">
        <v>0</v>
      </c>
      <c r="N906">
        <v>2383.67</v>
      </c>
    </row>
    <row r="907" spans="1:14" x14ac:dyDescent="0.35">
      <c r="A907" t="s">
        <v>1454</v>
      </c>
      <c r="B907" s="1">
        <v>45991</v>
      </c>
      <c r="C907" t="s">
        <v>814</v>
      </c>
      <c r="D907" t="s">
        <v>1152</v>
      </c>
      <c r="E907" t="s">
        <v>51</v>
      </c>
      <c r="F907" t="s">
        <v>92</v>
      </c>
      <c r="G907" t="s">
        <v>93</v>
      </c>
      <c r="H907" t="s">
        <v>38</v>
      </c>
      <c r="I907" t="s">
        <v>78</v>
      </c>
      <c r="J907" t="s">
        <v>174</v>
      </c>
      <c r="K907">
        <v>2</v>
      </c>
      <c r="L907" s="2">
        <v>969.3</v>
      </c>
      <c r="M907">
        <v>0</v>
      </c>
      <c r="N907">
        <v>124.74</v>
      </c>
    </row>
    <row r="908" spans="1:14" x14ac:dyDescent="0.35">
      <c r="A908" t="s">
        <v>1455</v>
      </c>
      <c r="B908" s="1">
        <v>45991</v>
      </c>
      <c r="C908" t="s">
        <v>750</v>
      </c>
      <c r="D908" t="s">
        <v>193</v>
      </c>
      <c r="E908" t="s">
        <v>51</v>
      </c>
      <c r="F908" t="s">
        <v>63</v>
      </c>
      <c r="G908" t="s">
        <v>324</v>
      </c>
      <c r="H908" t="s">
        <v>29</v>
      </c>
      <c r="I908" t="s">
        <v>30</v>
      </c>
      <c r="J908" t="s">
        <v>182</v>
      </c>
      <c r="K908">
        <v>4</v>
      </c>
      <c r="L908" s="2">
        <v>141021.95000000001</v>
      </c>
      <c r="M908">
        <v>0.1</v>
      </c>
      <c r="N908">
        <v>20004.400000000001</v>
      </c>
    </row>
    <row r="909" spans="1:14" x14ac:dyDescent="0.35">
      <c r="A909" t="s">
        <v>1456</v>
      </c>
      <c r="B909" s="1">
        <v>45992</v>
      </c>
      <c r="C909" t="s">
        <v>427</v>
      </c>
      <c r="D909" t="s">
        <v>1061</v>
      </c>
      <c r="E909" t="s">
        <v>17</v>
      </c>
      <c r="F909" t="s">
        <v>185</v>
      </c>
      <c r="G909" t="s">
        <v>186</v>
      </c>
      <c r="H909" t="s">
        <v>29</v>
      </c>
      <c r="I909" t="s">
        <v>94</v>
      </c>
      <c r="J909" t="s">
        <v>138</v>
      </c>
      <c r="K909">
        <v>1</v>
      </c>
      <c r="L909" s="2">
        <v>43675.96</v>
      </c>
      <c r="M909">
        <v>0</v>
      </c>
      <c r="N909">
        <v>5957.78</v>
      </c>
    </row>
    <row r="910" spans="1:14" x14ac:dyDescent="0.35">
      <c r="A910" t="s">
        <v>1457</v>
      </c>
      <c r="B910" s="1">
        <v>45992</v>
      </c>
      <c r="C910" t="s">
        <v>385</v>
      </c>
      <c r="D910" t="s">
        <v>196</v>
      </c>
      <c r="E910" t="s">
        <v>35</v>
      </c>
      <c r="F910" t="s">
        <v>128</v>
      </c>
      <c r="G910" t="s">
        <v>354</v>
      </c>
      <c r="H910" t="s">
        <v>29</v>
      </c>
      <c r="I910" t="s">
        <v>94</v>
      </c>
      <c r="J910" t="s">
        <v>138</v>
      </c>
      <c r="K910">
        <v>6</v>
      </c>
      <c r="L910" s="2">
        <v>232419.01</v>
      </c>
      <c r="M910">
        <v>0.2</v>
      </c>
      <c r="N910">
        <v>14366.32</v>
      </c>
    </row>
    <row r="911" spans="1:14" x14ac:dyDescent="0.35">
      <c r="A911" t="s">
        <v>1458</v>
      </c>
      <c r="B911" s="1">
        <v>45992</v>
      </c>
      <c r="C911" t="s">
        <v>794</v>
      </c>
      <c r="D911" t="s">
        <v>739</v>
      </c>
      <c r="E911" t="s">
        <v>26</v>
      </c>
      <c r="F911" t="s">
        <v>27</v>
      </c>
      <c r="G911" t="s">
        <v>249</v>
      </c>
      <c r="H911" t="s">
        <v>20</v>
      </c>
      <c r="I911" t="s">
        <v>21</v>
      </c>
      <c r="J911" t="s">
        <v>22</v>
      </c>
      <c r="K911">
        <v>3</v>
      </c>
      <c r="L911" s="2">
        <v>15777.33</v>
      </c>
      <c r="M911">
        <v>0.15</v>
      </c>
      <c r="N911">
        <v>1280.3800000000001</v>
      </c>
    </row>
    <row r="912" spans="1:14" x14ac:dyDescent="0.35">
      <c r="A912" t="s">
        <v>1459</v>
      </c>
      <c r="B912" s="1">
        <v>45992</v>
      </c>
      <c r="C912" t="s">
        <v>874</v>
      </c>
      <c r="D912" t="s">
        <v>943</v>
      </c>
      <c r="E912" t="s">
        <v>17</v>
      </c>
      <c r="F912" t="s">
        <v>210</v>
      </c>
      <c r="G912" t="s">
        <v>211</v>
      </c>
      <c r="H912" t="s">
        <v>20</v>
      </c>
      <c r="I912" t="s">
        <v>21</v>
      </c>
      <c r="J912" t="s">
        <v>22</v>
      </c>
      <c r="K912">
        <v>3</v>
      </c>
      <c r="L912" s="2">
        <v>19203.580000000002</v>
      </c>
      <c r="M912">
        <v>0.05</v>
      </c>
      <c r="N912">
        <v>3655.74</v>
      </c>
    </row>
    <row r="913" spans="1:14" x14ac:dyDescent="0.35">
      <c r="A913" t="s">
        <v>1460</v>
      </c>
      <c r="B913" s="1">
        <v>45992</v>
      </c>
      <c r="C913" t="s">
        <v>733</v>
      </c>
      <c r="D913" t="s">
        <v>652</v>
      </c>
      <c r="E913" t="s">
        <v>35</v>
      </c>
      <c r="F913" t="s">
        <v>36</v>
      </c>
      <c r="G913" t="s">
        <v>37</v>
      </c>
      <c r="H913" t="s">
        <v>38</v>
      </c>
      <c r="I913" t="s">
        <v>39</v>
      </c>
      <c r="J913" t="s">
        <v>40</v>
      </c>
      <c r="K913">
        <v>2</v>
      </c>
      <c r="L913" s="2">
        <v>917.11</v>
      </c>
      <c r="M913">
        <v>0.05</v>
      </c>
      <c r="N913">
        <v>69.69</v>
      </c>
    </row>
    <row r="914" spans="1:14" x14ac:dyDescent="0.35">
      <c r="A914" t="s">
        <v>1461</v>
      </c>
      <c r="B914" s="1">
        <v>45992</v>
      </c>
      <c r="C914" t="s">
        <v>81</v>
      </c>
      <c r="D914" t="s">
        <v>209</v>
      </c>
      <c r="E914" t="s">
        <v>51</v>
      </c>
      <c r="F914" t="s">
        <v>104</v>
      </c>
      <c r="G914" t="s">
        <v>105</v>
      </c>
      <c r="H914" t="s">
        <v>29</v>
      </c>
      <c r="I914" t="s">
        <v>94</v>
      </c>
      <c r="J914" t="s">
        <v>95</v>
      </c>
      <c r="K914">
        <v>5</v>
      </c>
      <c r="L914" s="2">
        <v>332360.61</v>
      </c>
      <c r="M914">
        <v>0</v>
      </c>
      <c r="N914">
        <v>32498.74</v>
      </c>
    </row>
    <row r="915" spans="1:14" x14ac:dyDescent="0.35">
      <c r="A915" t="s">
        <v>1462</v>
      </c>
      <c r="B915" s="1">
        <v>45993</v>
      </c>
      <c r="C915" t="s">
        <v>881</v>
      </c>
      <c r="D915" t="s">
        <v>200</v>
      </c>
      <c r="E915" t="s">
        <v>51</v>
      </c>
      <c r="F915" t="s">
        <v>92</v>
      </c>
      <c r="G915" t="s">
        <v>93</v>
      </c>
      <c r="H915" t="s">
        <v>38</v>
      </c>
      <c r="I915" t="s">
        <v>218</v>
      </c>
      <c r="J915" t="s">
        <v>221</v>
      </c>
      <c r="K915">
        <v>1</v>
      </c>
      <c r="L915" s="2">
        <v>160.18</v>
      </c>
      <c r="M915">
        <v>0.1</v>
      </c>
      <c r="N915">
        <v>15.31</v>
      </c>
    </row>
    <row r="916" spans="1:14" x14ac:dyDescent="0.35">
      <c r="A916" t="s">
        <v>1463</v>
      </c>
      <c r="B916" s="1">
        <v>45993</v>
      </c>
      <c r="C916" t="s">
        <v>409</v>
      </c>
      <c r="D916" t="s">
        <v>190</v>
      </c>
      <c r="E916" t="s">
        <v>51</v>
      </c>
      <c r="F916" t="s">
        <v>52</v>
      </c>
      <c r="G916" t="s">
        <v>57</v>
      </c>
      <c r="H916" t="s">
        <v>20</v>
      </c>
      <c r="I916" t="s">
        <v>21</v>
      </c>
      <c r="J916" t="s">
        <v>72</v>
      </c>
      <c r="K916">
        <v>7</v>
      </c>
      <c r="L916" s="2">
        <v>20404.3</v>
      </c>
      <c r="M916">
        <v>0.05</v>
      </c>
      <c r="N916">
        <v>1258.4100000000001</v>
      </c>
    </row>
    <row r="917" spans="1:14" x14ac:dyDescent="0.35">
      <c r="A917" t="s">
        <v>1464</v>
      </c>
      <c r="B917" s="1">
        <v>45993</v>
      </c>
      <c r="C917" t="s">
        <v>871</v>
      </c>
      <c r="D917" t="s">
        <v>677</v>
      </c>
      <c r="E917" t="s">
        <v>26</v>
      </c>
      <c r="F917" t="s">
        <v>27</v>
      </c>
      <c r="G917" t="s">
        <v>267</v>
      </c>
      <c r="H917" t="s">
        <v>29</v>
      </c>
      <c r="I917" t="s">
        <v>94</v>
      </c>
      <c r="J917" t="s">
        <v>138</v>
      </c>
      <c r="K917">
        <v>1</v>
      </c>
      <c r="L917" s="2">
        <v>43146.32</v>
      </c>
      <c r="M917">
        <v>0</v>
      </c>
      <c r="N917">
        <v>4854.17</v>
      </c>
    </row>
    <row r="918" spans="1:14" x14ac:dyDescent="0.35">
      <c r="A918" t="s">
        <v>1465</v>
      </c>
      <c r="B918" s="1">
        <v>45994</v>
      </c>
      <c r="C918" t="s">
        <v>1174</v>
      </c>
      <c r="D918" t="s">
        <v>165</v>
      </c>
      <c r="E918" t="s">
        <v>35</v>
      </c>
      <c r="F918" t="s">
        <v>128</v>
      </c>
      <c r="G918" t="s">
        <v>354</v>
      </c>
      <c r="H918" t="s">
        <v>29</v>
      </c>
      <c r="I918" t="s">
        <v>58</v>
      </c>
      <c r="J918" t="s">
        <v>300</v>
      </c>
      <c r="K918">
        <v>3</v>
      </c>
      <c r="L918" s="2">
        <v>4177.46</v>
      </c>
      <c r="M918">
        <v>0.1</v>
      </c>
      <c r="N918">
        <v>410.99</v>
      </c>
    </row>
    <row r="919" spans="1:14" x14ac:dyDescent="0.35">
      <c r="A919" t="s">
        <v>1466</v>
      </c>
      <c r="B919" s="1">
        <v>45994</v>
      </c>
      <c r="C919" t="s">
        <v>539</v>
      </c>
      <c r="D919" t="s">
        <v>346</v>
      </c>
      <c r="E919" t="s">
        <v>17</v>
      </c>
      <c r="F919" t="s">
        <v>76</v>
      </c>
      <c r="G919" t="s">
        <v>77</v>
      </c>
      <c r="H919" t="s">
        <v>29</v>
      </c>
      <c r="I919" t="s">
        <v>94</v>
      </c>
      <c r="J919" t="s">
        <v>138</v>
      </c>
      <c r="K919">
        <v>5</v>
      </c>
      <c r="L919" s="2">
        <v>207386.01</v>
      </c>
      <c r="M919">
        <v>0.1</v>
      </c>
      <c r="N919">
        <v>44425.24</v>
      </c>
    </row>
    <row r="920" spans="1:14" x14ac:dyDescent="0.35">
      <c r="A920" t="s">
        <v>1467</v>
      </c>
      <c r="B920" s="1">
        <v>45994</v>
      </c>
      <c r="C920" t="s">
        <v>1077</v>
      </c>
      <c r="D920" t="s">
        <v>394</v>
      </c>
      <c r="E920" t="s">
        <v>51</v>
      </c>
      <c r="F920" t="s">
        <v>92</v>
      </c>
      <c r="G920" t="s">
        <v>93</v>
      </c>
      <c r="H920" t="s">
        <v>38</v>
      </c>
      <c r="I920" t="s">
        <v>78</v>
      </c>
      <c r="J920" t="s">
        <v>174</v>
      </c>
      <c r="K920">
        <v>1</v>
      </c>
      <c r="L920" s="2">
        <v>407.6</v>
      </c>
      <c r="M920">
        <v>0.05</v>
      </c>
      <c r="N920">
        <v>26.59</v>
      </c>
    </row>
    <row r="921" spans="1:14" x14ac:dyDescent="0.35">
      <c r="A921" t="s">
        <v>1468</v>
      </c>
      <c r="B921" s="1">
        <v>45995</v>
      </c>
      <c r="C921" t="s">
        <v>625</v>
      </c>
      <c r="D921" t="s">
        <v>540</v>
      </c>
      <c r="E921" t="s">
        <v>17</v>
      </c>
      <c r="F921" t="s">
        <v>185</v>
      </c>
      <c r="G921" t="s">
        <v>528</v>
      </c>
      <c r="H921" t="s">
        <v>38</v>
      </c>
      <c r="I921" t="s">
        <v>39</v>
      </c>
      <c r="J921" t="s">
        <v>40</v>
      </c>
      <c r="K921">
        <v>5</v>
      </c>
      <c r="L921" s="2">
        <v>2245.23</v>
      </c>
      <c r="M921">
        <v>0</v>
      </c>
      <c r="N921">
        <v>207.07</v>
      </c>
    </row>
    <row r="922" spans="1:14" x14ac:dyDescent="0.35">
      <c r="A922" t="s">
        <v>1469</v>
      </c>
      <c r="B922" s="1">
        <v>45995</v>
      </c>
      <c r="C922" t="s">
        <v>84</v>
      </c>
      <c r="D922" t="s">
        <v>743</v>
      </c>
      <c r="E922" t="s">
        <v>51</v>
      </c>
      <c r="F922" t="s">
        <v>52</v>
      </c>
      <c r="G922" t="s">
        <v>57</v>
      </c>
      <c r="H922" t="s">
        <v>29</v>
      </c>
      <c r="I922" t="s">
        <v>94</v>
      </c>
      <c r="J922" t="s">
        <v>106</v>
      </c>
      <c r="K922">
        <v>6</v>
      </c>
      <c r="L922" s="2">
        <v>497673.56</v>
      </c>
      <c r="M922">
        <v>0</v>
      </c>
      <c r="N922">
        <v>66095.23</v>
      </c>
    </row>
    <row r="923" spans="1:14" x14ac:dyDescent="0.35">
      <c r="A923" t="s">
        <v>1470</v>
      </c>
      <c r="B923" s="1">
        <v>45995</v>
      </c>
      <c r="C923" t="s">
        <v>411</v>
      </c>
      <c r="D923" t="s">
        <v>1167</v>
      </c>
      <c r="E923" t="s">
        <v>17</v>
      </c>
      <c r="F923" t="s">
        <v>18</v>
      </c>
      <c r="G923" t="s">
        <v>19</v>
      </c>
      <c r="H923" t="s">
        <v>29</v>
      </c>
      <c r="I923" t="s">
        <v>94</v>
      </c>
      <c r="J923" t="s">
        <v>95</v>
      </c>
      <c r="K923">
        <v>3</v>
      </c>
      <c r="L923" s="2">
        <v>189143.45</v>
      </c>
      <c r="M923">
        <v>0.05</v>
      </c>
      <c r="N923">
        <v>42606.36</v>
      </c>
    </row>
    <row r="924" spans="1:14" x14ac:dyDescent="0.35">
      <c r="A924" t="s">
        <v>1471</v>
      </c>
      <c r="B924" s="1">
        <v>45996</v>
      </c>
      <c r="C924" t="s">
        <v>681</v>
      </c>
      <c r="D924" t="s">
        <v>474</v>
      </c>
      <c r="E924" t="s">
        <v>17</v>
      </c>
      <c r="F924" t="s">
        <v>18</v>
      </c>
      <c r="G924" t="s">
        <v>19</v>
      </c>
      <c r="H924" t="s">
        <v>20</v>
      </c>
      <c r="I924" t="s">
        <v>46</v>
      </c>
      <c r="J924" t="s">
        <v>47</v>
      </c>
      <c r="K924">
        <v>3</v>
      </c>
      <c r="L924" s="2">
        <v>19349.48</v>
      </c>
      <c r="M924">
        <v>0.1</v>
      </c>
      <c r="N924">
        <v>1732.78</v>
      </c>
    </row>
    <row r="925" spans="1:14" x14ac:dyDescent="0.35">
      <c r="A925" t="s">
        <v>1472</v>
      </c>
      <c r="B925" s="1">
        <v>45996</v>
      </c>
      <c r="C925" t="s">
        <v>208</v>
      </c>
      <c r="D925" t="s">
        <v>630</v>
      </c>
      <c r="E925" t="s">
        <v>26</v>
      </c>
      <c r="F925" t="s">
        <v>44</v>
      </c>
      <c r="G925" t="s">
        <v>116</v>
      </c>
      <c r="H925" t="s">
        <v>20</v>
      </c>
      <c r="I925" t="s">
        <v>21</v>
      </c>
      <c r="J925" t="s">
        <v>197</v>
      </c>
      <c r="K925">
        <v>6</v>
      </c>
      <c r="L925" s="2">
        <v>63284.23</v>
      </c>
      <c r="M925">
        <v>0.1</v>
      </c>
      <c r="N925">
        <v>6331.63</v>
      </c>
    </row>
    <row r="926" spans="1:14" x14ac:dyDescent="0.35">
      <c r="A926" t="s">
        <v>1473</v>
      </c>
      <c r="B926" s="1">
        <v>45997</v>
      </c>
      <c r="C926" t="s">
        <v>675</v>
      </c>
      <c r="D926" t="s">
        <v>485</v>
      </c>
      <c r="E926" t="s">
        <v>51</v>
      </c>
      <c r="F926" t="s">
        <v>104</v>
      </c>
      <c r="G926" t="s">
        <v>105</v>
      </c>
      <c r="H926" t="s">
        <v>29</v>
      </c>
      <c r="I926" t="s">
        <v>94</v>
      </c>
      <c r="J926" t="s">
        <v>95</v>
      </c>
      <c r="K926">
        <v>1</v>
      </c>
      <c r="L926" s="2">
        <v>57341.99</v>
      </c>
      <c r="M926">
        <v>0.1</v>
      </c>
      <c r="N926">
        <v>6289.47</v>
      </c>
    </row>
    <row r="927" spans="1:14" x14ac:dyDescent="0.35">
      <c r="A927" t="s">
        <v>1474</v>
      </c>
      <c r="B927" s="1">
        <v>45997</v>
      </c>
      <c r="C927" t="s">
        <v>1229</v>
      </c>
      <c r="D927" t="s">
        <v>1041</v>
      </c>
      <c r="E927" t="s">
        <v>35</v>
      </c>
      <c r="F927" t="s">
        <v>128</v>
      </c>
      <c r="G927" t="s">
        <v>129</v>
      </c>
      <c r="H927" t="s">
        <v>29</v>
      </c>
      <c r="I927" t="s">
        <v>30</v>
      </c>
      <c r="J927" t="s">
        <v>31</v>
      </c>
      <c r="K927">
        <v>4</v>
      </c>
      <c r="L927" s="2">
        <v>67331.929999999993</v>
      </c>
      <c r="M927">
        <v>0.05</v>
      </c>
      <c r="N927">
        <v>14087.57</v>
      </c>
    </row>
    <row r="928" spans="1:14" x14ac:dyDescent="0.35">
      <c r="A928" t="s">
        <v>1475</v>
      </c>
      <c r="B928" s="1">
        <v>45997</v>
      </c>
      <c r="C928" t="s">
        <v>281</v>
      </c>
      <c r="D928" t="s">
        <v>425</v>
      </c>
      <c r="E928" t="s">
        <v>51</v>
      </c>
      <c r="F928" t="s">
        <v>52</v>
      </c>
      <c r="G928" t="s">
        <v>53</v>
      </c>
      <c r="H928" t="s">
        <v>20</v>
      </c>
      <c r="I928" t="s">
        <v>21</v>
      </c>
      <c r="J928" t="s">
        <v>22</v>
      </c>
      <c r="K928">
        <v>1</v>
      </c>
      <c r="L928" s="2">
        <v>6227.61</v>
      </c>
      <c r="M928">
        <v>0</v>
      </c>
      <c r="N928">
        <v>1293.1600000000001</v>
      </c>
    </row>
    <row r="929" spans="1:14" x14ac:dyDescent="0.35">
      <c r="A929" t="s">
        <v>1476</v>
      </c>
      <c r="B929" s="1">
        <v>45998</v>
      </c>
      <c r="C929" t="s">
        <v>892</v>
      </c>
      <c r="D929" t="s">
        <v>436</v>
      </c>
      <c r="E929" t="s">
        <v>17</v>
      </c>
      <c r="F929" t="s">
        <v>185</v>
      </c>
      <c r="G929" t="s">
        <v>186</v>
      </c>
      <c r="H929" t="s">
        <v>29</v>
      </c>
      <c r="I929" t="s">
        <v>58</v>
      </c>
      <c r="J929" t="s">
        <v>59</v>
      </c>
      <c r="K929">
        <v>6</v>
      </c>
      <c r="L929" s="2">
        <v>4947.8599999999997</v>
      </c>
      <c r="M929">
        <v>0.15</v>
      </c>
      <c r="N929">
        <v>282.39999999999998</v>
      </c>
    </row>
    <row r="930" spans="1:14" x14ac:dyDescent="0.35">
      <c r="A930" t="s">
        <v>1477</v>
      </c>
      <c r="B930" s="1">
        <v>45998</v>
      </c>
      <c r="C930" t="s">
        <v>374</v>
      </c>
      <c r="D930" t="s">
        <v>383</v>
      </c>
      <c r="E930" t="s">
        <v>51</v>
      </c>
      <c r="F930" t="s">
        <v>63</v>
      </c>
      <c r="G930" t="s">
        <v>324</v>
      </c>
      <c r="H930" t="s">
        <v>29</v>
      </c>
      <c r="I930" t="s">
        <v>94</v>
      </c>
      <c r="J930" t="s">
        <v>106</v>
      </c>
      <c r="K930">
        <v>1</v>
      </c>
      <c r="L930" s="2">
        <v>72461.960000000006</v>
      </c>
      <c r="M930">
        <v>0</v>
      </c>
      <c r="N930">
        <v>5400.41</v>
      </c>
    </row>
    <row r="931" spans="1:14" x14ac:dyDescent="0.35">
      <c r="A931" t="s">
        <v>1478</v>
      </c>
      <c r="B931" s="1">
        <v>45998</v>
      </c>
      <c r="C931" t="s">
        <v>853</v>
      </c>
      <c r="D931" t="s">
        <v>804</v>
      </c>
      <c r="E931" t="s">
        <v>35</v>
      </c>
      <c r="F931" t="s">
        <v>128</v>
      </c>
      <c r="G931" t="s">
        <v>129</v>
      </c>
      <c r="H931" t="s">
        <v>20</v>
      </c>
      <c r="I931" t="s">
        <v>65</v>
      </c>
      <c r="J931" t="s">
        <v>142</v>
      </c>
      <c r="K931">
        <v>5</v>
      </c>
      <c r="L931" s="2">
        <v>100803.84</v>
      </c>
      <c r="M931">
        <v>0.05</v>
      </c>
      <c r="N931">
        <v>7384.02</v>
      </c>
    </row>
    <row r="932" spans="1:14" x14ac:dyDescent="0.35">
      <c r="A932" t="s">
        <v>1479</v>
      </c>
      <c r="B932" s="1">
        <v>45998</v>
      </c>
      <c r="C932" t="s">
        <v>999</v>
      </c>
      <c r="D932" t="s">
        <v>209</v>
      </c>
      <c r="E932" t="s">
        <v>51</v>
      </c>
      <c r="F932" t="s">
        <v>63</v>
      </c>
      <c r="G932" t="s">
        <v>324</v>
      </c>
      <c r="H932" t="s">
        <v>29</v>
      </c>
      <c r="I932" t="s">
        <v>58</v>
      </c>
      <c r="J932" t="s">
        <v>88</v>
      </c>
      <c r="K932">
        <v>4</v>
      </c>
      <c r="L932" s="2">
        <v>8713.39</v>
      </c>
      <c r="M932">
        <v>0.1</v>
      </c>
      <c r="N932">
        <v>637.19000000000005</v>
      </c>
    </row>
    <row r="933" spans="1:14" x14ac:dyDescent="0.35">
      <c r="A933" t="s">
        <v>1480</v>
      </c>
      <c r="B933" s="1">
        <v>45998</v>
      </c>
      <c r="C933" t="s">
        <v>766</v>
      </c>
      <c r="D933" t="s">
        <v>349</v>
      </c>
      <c r="E933" t="s">
        <v>26</v>
      </c>
      <c r="F933" t="s">
        <v>121</v>
      </c>
      <c r="G933" t="s">
        <v>214</v>
      </c>
      <c r="H933" t="s">
        <v>29</v>
      </c>
      <c r="I933" t="s">
        <v>94</v>
      </c>
      <c r="J933" t="s">
        <v>138</v>
      </c>
      <c r="K933">
        <v>4</v>
      </c>
      <c r="L933" s="2">
        <v>154272.04</v>
      </c>
      <c r="M933">
        <v>0.1</v>
      </c>
      <c r="N933">
        <v>24871.4</v>
      </c>
    </row>
    <row r="934" spans="1:14" x14ac:dyDescent="0.35">
      <c r="A934" t="s">
        <v>1481</v>
      </c>
      <c r="B934" s="1">
        <v>45998</v>
      </c>
      <c r="C934" t="s">
        <v>385</v>
      </c>
      <c r="D934" t="s">
        <v>1096</v>
      </c>
      <c r="E934" t="s">
        <v>26</v>
      </c>
      <c r="F934" t="s">
        <v>86</v>
      </c>
      <c r="G934" t="s">
        <v>87</v>
      </c>
      <c r="H934" t="s">
        <v>38</v>
      </c>
      <c r="I934" t="s">
        <v>39</v>
      </c>
      <c r="J934" t="s">
        <v>40</v>
      </c>
      <c r="K934">
        <v>6</v>
      </c>
      <c r="L934" s="2">
        <v>2642.04</v>
      </c>
      <c r="M934">
        <v>0.1</v>
      </c>
      <c r="N934">
        <v>201.42</v>
      </c>
    </row>
    <row r="935" spans="1:14" x14ac:dyDescent="0.35">
      <c r="A935" t="s">
        <v>1482</v>
      </c>
      <c r="B935" s="1">
        <v>45999</v>
      </c>
      <c r="C935" t="s">
        <v>1321</v>
      </c>
      <c r="D935" t="s">
        <v>357</v>
      </c>
      <c r="E935" t="s">
        <v>51</v>
      </c>
      <c r="F935" t="s">
        <v>63</v>
      </c>
      <c r="G935" t="s">
        <v>324</v>
      </c>
      <c r="H935" t="s">
        <v>38</v>
      </c>
      <c r="I935" t="s">
        <v>218</v>
      </c>
      <c r="J935" t="s">
        <v>221</v>
      </c>
      <c r="K935">
        <v>5</v>
      </c>
      <c r="L935" s="2">
        <v>911.71</v>
      </c>
      <c r="M935">
        <v>0</v>
      </c>
      <c r="N935">
        <v>196.35</v>
      </c>
    </row>
    <row r="936" spans="1:14" x14ac:dyDescent="0.35">
      <c r="A936" t="s">
        <v>1483</v>
      </c>
      <c r="B936" s="1">
        <v>45999</v>
      </c>
      <c r="C936" t="s">
        <v>393</v>
      </c>
      <c r="D936" t="s">
        <v>455</v>
      </c>
      <c r="E936" t="s">
        <v>17</v>
      </c>
      <c r="F936" t="s">
        <v>185</v>
      </c>
      <c r="G936" t="s">
        <v>528</v>
      </c>
      <c r="H936" t="s">
        <v>20</v>
      </c>
      <c r="I936" t="s">
        <v>21</v>
      </c>
      <c r="J936" t="s">
        <v>72</v>
      </c>
      <c r="K936">
        <v>4</v>
      </c>
      <c r="L936" s="2">
        <v>11254.2</v>
      </c>
      <c r="M936">
        <v>0.1</v>
      </c>
      <c r="N936">
        <v>2000.42</v>
      </c>
    </row>
    <row r="937" spans="1:14" x14ac:dyDescent="0.35">
      <c r="A937" t="s">
        <v>1484</v>
      </c>
      <c r="B937" s="1">
        <v>45999</v>
      </c>
      <c r="C937" t="s">
        <v>239</v>
      </c>
      <c r="D937" t="s">
        <v>148</v>
      </c>
      <c r="E937" t="s">
        <v>26</v>
      </c>
      <c r="F937" t="s">
        <v>27</v>
      </c>
      <c r="G937" t="s">
        <v>267</v>
      </c>
      <c r="H937" t="s">
        <v>20</v>
      </c>
      <c r="I937" t="s">
        <v>65</v>
      </c>
      <c r="J937" t="s">
        <v>117</v>
      </c>
      <c r="K937">
        <v>6</v>
      </c>
      <c r="L937" s="2">
        <v>31353.87</v>
      </c>
      <c r="M937">
        <v>0</v>
      </c>
      <c r="N937">
        <v>2921.08</v>
      </c>
    </row>
    <row r="938" spans="1:14" x14ac:dyDescent="0.35">
      <c r="A938" t="s">
        <v>1485</v>
      </c>
      <c r="B938" s="1">
        <v>46000</v>
      </c>
      <c r="C938" t="s">
        <v>781</v>
      </c>
      <c r="D938" t="s">
        <v>467</v>
      </c>
      <c r="E938" t="s">
        <v>51</v>
      </c>
      <c r="F938" t="s">
        <v>99</v>
      </c>
      <c r="G938" t="s">
        <v>482</v>
      </c>
      <c r="H938" t="s">
        <v>29</v>
      </c>
      <c r="I938" t="s">
        <v>94</v>
      </c>
      <c r="J938" t="s">
        <v>138</v>
      </c>
      <c r="K938">
        <v>3</v>
      </c>
      <c r="L938" s="2">
        <v>112956.36</v>
      </c>
      <c r="M938">
        <v>0.15</v>
      </c>
      <c r="N938">
        <v>12028.91</v>
      </c>
    </row>
    <row r="939" spans="1:14" x14ac:dyDescent="0.35">
      <c r="A939" t="s">
        <v>1486</v>
      </c>
      <c r="B939" s="1">
        <v>46000</v>
      </c>
      <c r="C939" t="s">
        <v>903</v>
      </c>
      <c r="D939" t="s">
        <v>495</v>
      </c>
      <c r="E939" t="s">
        <v>17</v>
      </c>
      <c r="F939" t="s">
        <v>18</v>
      </c>
      <c r="G939" t="s">
        <v>19</v>
      </c>
      <c r="H939" t="s">
        <v>38</v>
      </c>
      <c r="I939" t="s">
        <v>39</v>
      </c>
      <c r="J939" t="s">
        <v>40</v>
      </c>
      <c r="K939">
        <v>7</v>
      </c>
      <c r="L939" s="2">
        <v>3216.82</v>
      </c>
      <c r="M939">
        <v>0.05</v>
      </c>
      <c r="N939">
        <v>394.04</v>
      </c>
    </row>
    <row r="940" spans="1:14" x14ac:dyDescent="0.35">
      <c r="A940" t="s">
        <v>1487</v>
      </c>
      <c r="B940" s="1">
        <v>46000</v>
      </c>
      <c r="C940" t="s">
        <v>979</v>
      </c>
      <c r="D940" t="s">
        <v>266</v>
      </c>
      <c r="E940" t="s">
        <v>17</v>
      </c>
      <c r="F940" t="s">
        <v>210</v>
      </c>
      <c r="G940" t="s">
        <v>211</v>
      </c>
      <c r="H940" t="s">
        <v>29</v>
      </c>
      <c r="I940" t="s">
        <v>30</v>
      </c>
      <c r="J940" t="s">
        <v>31</v>
      </c>
      <c r="K940">
        <v>4</v>
      </c>
      <c r="L940" s="2">
        <v>70731.649999999994</v>
      </c>
      <c r="M940">
        <v>0</v>
      </c>
      <c r="N940">
        <v>10355.719999999999</v>
      </c>
    </row>
    <row r="941" spans="1:14" x14ac:dyDescent="0.35">
      <c r="A941" t="s">
        <v>1488</v>
      </c>
      <c r="B941" s="1">
        <v>46001</v>
      </c>
      <c r="C941" t="s">
        <v>306</v>
      </c>
      <c r="D941" t="s">
        <v>263</v>
      </c>
      <c r="E941" t="s">
        <v>35</v>
      </c>
      <c r="F941" t="s">
        <v>128</v>
      </c>
      <c r="G941" t="s">
        <v>129</v>
      </c>
      <c r="H941" t="s">
        <v>38</v>
      </c>
      <c r="I941" t="s">
        <v>218</v>
      </c>
      <c r="J941" t="s">
        <v>221</v>
      </c>
      <c r="K941">
        <v>3</v>
      </c>
      <c r="L941" s="2">
        <v>523.51</v>
      </c>
      <c r="M941">
        <v>0.1</v>
      </c>
      <c r="N941">
        <v>104.26</v>
      </c>
    </row>
    <row r="942" spans="1:14" x14ac:dyDescent="0.35">
      <c r="A942" t="s">
        <v>1489</v>
      </c>
      <c r="B942" s="1">
        <v>46001</v>
      </c>
      <c r="C942" t="s">
        <v>180</v>
      </c>
      <c r="D942" t="s">
        <v>230</v>
      </c>
      <c r="E942" t="s">
        <v>26</v>
      </c>
      <c r="F942" t="s">
        <v>121</v>
      </c>
      <c r="G942" t="s">
        <v>214</v>
      </c>
      <c r="H942" t="s">
        <v>38</v>
      </c>
      <c r="I942" t="s">
        <v>39</v>
      </c>
      <c r="J942" t="s">
        <v>258</v>
      </c>
      <c r="K942">
        <v>7</v>
      </c>
      <c r="L942" s="2">
        <v>4095.2</v>
      </c>
      <c r="M942">
        <v>0.1</v>
      </c>
      <c r="N942">
        <v>822.88</v>
      </c>
    </row>
    <row r="943" spans="1:14" x14ac:dyDescent="0.35">
      <c r="A943" t="s">
        <v>1490</v>
      </c>
      <c r="B943" s="1">
        <v>46001</v>
      </c>
      <c r="C943" t="s">
        <v>292</v>
      </c>
      <c r="D943" t="s">
        <v>702</v>
      </c>
      <c r="E943" t="s">
        <v>51</v>
      </c>
      <c r="F943" t="s">
        <v>104</v>
      </c>
      <c r="G943" t="s">
        <v>206</v>
      </c>
      <c r="H943" t="s">
        <v>29</v>
      </c>
      <c r="I943" t="s">
        <v>58</v>
      </c>
      <c r="J943" t="s">
        <v>300</v>
      </c>
      <c r="K943">
        <v>7</v>
      </c>
      <c r="L943" s="2">
        <v>10362.08</v>
      </c>
      <c r="M943">
        <v>0.05</v>
      </c>
      <c r="N943">
        <v>661.04</v>
      </c>
    </row>
    <row r="944" spans="1:14" x14ac:dyDescent="0.35">
      <c r="A944" t="s">
        <v>1491</v>
      </c>
      <c r="B944" s="1">
        <v>46001</v>
      </c>
      <c r="C944" t="s">
        <v>855</v>
      </c>
      <c r="D944" t="s">
        <v>361</v>
      </c>
      <c r="E944" t="s">
        <v>51</v>
      </c>
      <c r="F944" t="s">
        <v>104</v>
      </c>
      <c r="G944" t="s">
        <v>206</v>
      </c>
      <c r="H944" t="s">
        <v>20</v>
      </c>
      <c r="I944" t="s">
        <v>65</v>
      </c>
      <c r="J944" t="s">
        <v>66</v>
      </c>
      <c r="K944">
        <v>4</v>
      </c>
      <c r="L944" s="2">
        <v>35055.43</v>
      </c>
      <c r="M944">
        <v>0</v>
      </c>
      <c r="N944">
        <v>4375.55</v>
      </c>
    </row>
    <row r="945" spans="1:14" x14ac:dyDescent="0.35">
      <c r="A945" t="s">
        <v>1492</v>
      </c>
      <c r="B945" s="1">
        <v>46001</v>
      </c>
      <c r="C945" t="s">
        <v>333</v>
      </c>
      <c r="D945" t="s">
        <v>141</v>
      </c>
      <c r="E945" t="s">
        <v>35</v>
      </c>
      <c r="F945" t="s">
        <v>110</v>
      </c>
      <c r="G945" t="s">
        <v>111</v>
      </c>
      <c r="H945" t="s">
        <v>20</v>
      </c>
      <c r="I945" t="s">
        <v>65</v>
      </c>
      <c r="J945" t="s">
        <v>117</v>
      </c>
      <c r="K945">
        <v>7</v>
      </c>
      <c r="L945" s="2">
        <v>32657.23</v>
      </c>
      <c r="M945">
        <v>0.1</v>
      </c>
      <c r="N945">
        <v>4160.7299999999996</v>
      </c>
    </row>
    <row r="946" spans="1:14" x14ac:dyDescent="0.35">
      <c r="A946" t="s">
        <v>1493</v>
      </c>
      <c r="B946" s="1">
        <v>46002</v>
      </c>
      <c r="C946" t="s">
        <v>180</v>
      </c>
      <c r="D946" t="s">
        <v>237</v>
      </c>
      <c r="E946" t="s">
        <v>51</v>
      </c>
      <c r="F946" t="s">
        <v>104</v>
      </c>
      <c r="G946" t="s">
        <v>206</v>
      </c>
      <c r="H946" t="s">
        <v>29</v>
      </c>
      <c r="I946" t="s">
        <v>30</v>
      </c>
      <c r="J946" t="s">
        <v>112</v>
      </c>
      <c r="K946">
        <v>7</v>
      </c>
      <c r="L946" s="2">
        <v>185325.21</v>
      </c>
      <c r="M946">
        <v>0.1</v>
      </c>
      <c r="N946">
        <v>40379.99</v>
      </c>
    </row>
    <row r="947" spans="1:14" x14ac:dyDescent="0.35">
      <c r="A947" t="s">
        <v>1494</v>
      </c>
      <c r="B947" s="1">
        <v>46004</v>
      </c>
      <c r="C947" t="s">
        <v>706</v>
      </c>
      <c r="D947" t="s">
        <v>642</v>
      </c>
      <c r="E947" t="s">
        <v>35</v>
      </c>
      <c r="F947" t="s">
        <v>36</v>
      </c>
      <c r="G947" t="s">
        <v>255</v>
      </c>
      <c r="H947" t="s">
        <v>38</v>
      </c>
      <c r="I947" t="s">
        <v>39</v>
      </c>
      <c r="J947" t="s">
        <v>258</v>
      </c>
      <c r="K947">
        <v>7</v>
      </c>
      <c r="L947" s="2">
        <v>3975.33</v>
      </c>
      <c r="M947">
        <v>0.15</v>
      </c>
      <c r="N947">
        <v>123.35</v>
      </c>
    </row>
    <row r="948" spans="1:14" x14ac:dyDescent="0.35">
      <c r="A948" t="s">
        <v>1495</v>
      </c>
      <c r="B948" s="1">
        <v>46004</v>
      </c>
      <c r="C948" t="s">
        <v>716</v>
      </c>
      <c r="D948" t="s">
        <v>809</v>
      </c>
      <c r="E948" t="s">
        <v>26</v>
      </c>
      <c r="F948" t="s">
        <v>86</v>
      </c>
      <c r="G948" t="s">
        <v>87</v>
      </c>
      <c r="H948" t="s">
        <v>20</v>
      </c>
      <c r="I948" t="s">
        <v>21</v>
      </c>
      <c r="J948" t="s">
        <v>72</v>
      </c>
      <c r="K948">
        <v>2</v>
      </c>
      <c r="L948" s="2">
        <v>5107.5</v>
      </c>
      <c r="M948">
        <v>0.1</v>
      </c>
      <c r="N948">
        <v>637.99</v>
      </c>
    </row>
    <row r="949" spans="1:14" x14ac:dyDescent="0.35">
      <c r="A949" t="s">
        <v>1496</v>
      </c>
      <c r="B949" s="1">
        <v>46006</v>
      </c>
      <c r="C949" t="s">
        <v>742</v>
      </c>
      <c r="D949" t="s">
        <v>155</v>
      </c>
      <c r="E949" t="s">
        <v>17</v>
      </c>
      <c r="F949" t="s">
        <v>210</v>
      </c>
      <c r="G949" t="s">
        <v>211</v>
      </c>
      <c r="H949" t="s">
        <v>29</v>
      </c>
      <c r="I949" t="s">
        <v>94</v>
      </c>
      <c r="J949" t="s">
        <v>138</v>
      </c>
      <c r="K949">
        <v>5</v>
      </c>
      <c r="L949" s="2">
        <v>236663.29</v>
      </c>
      <c r="M949">
        <v>0</v>
      </c>
      <c r="N949">
        <v>43043.9</v>
      </c>
    </row>
    <row r="950" spans="1:14" x14ac:dyDescent="0.35">
      <c r="A950" t="s">
        <v>1497</v>
      </c>
      <c r="B950" s="1">
        <v>46006</v>
      </c>
      <c r="C950" t="s">
        <v>402</v>
      </c>
      <c r="D950" t="s">
        <v>543</v>
      </c>
      <c r="E950" t="s">
        <v>26</v>
      </c>
      <c r="F950" t="s">
        <v>86</v>
      </c>
      <c r="G950" t="s">
        <v>87</v>
      </c>
      <c r="H950" t="s">
        <v>29</v>
      </c>
      <c r="I950" t="s">
        <v>94</v>
      </c>
      <c r="J950" t="s">
        <v>138</v>
      </c>
      <c r="K950">
        <v>7</v>
      </c>
      <c r="L950" s="2">
        <v>278288.25</v>
      </c>
      <c r="M950">
        <v>0.1</v>
      </c>
      <c r="N950">
        <v>53950.36</v>
      </c>
    </row>
    <row r="951" spans="1:14" x14ac:dyDescent="0.35">
      <c r="A951" t="s">
        <v>1498</v>
      </c>
      <c r="B951" s="1">
        <v>46006</v>
      </c>
      <c r="C951" t="s">
        <v>167</v>
      </c>
      <c r="D951" t="s">
        <v>312</v>
      </c>
      <c r="E951" t="s">
        <v>51</v>
      </c>
      <c r="F951" t="s">
        <v>104</v>
      </c>
      <c r="G951" t="s">
        <v>105</v>
      </c>
      <c r="H951" t="s">
        <v>38</v>
      </c>
      <c r="I951" t="s">
        <v>218</v>
      </c>
      <c r="J951" t="s">
        <v>221</v>
      </c>
      <c r="K951">
        <v>1</v>
      </c>
      <c r="L951" s="2">
        <v>172.96</v>
      </c>
      <c r="M951">
        <v>0</v>
      </c>
      <c r="N951">
        <v>26.8</v>
      </c>
    </row>
    <row r="952" spans="1:14" x14ac:dyDescent="0.35">
      <c r="A952" t="s">
        <v>1499</v>
      </c>
      <c r="B952" s="1">
        <v>46008</v>
      </c>
      <c r="C952" t="s">
        <v>539</v>
      </c>
      <c r="D952" t="s">
        <v>1078</v>
      </c>
      <c r="E952" t="s">
        <v>35</v>
      </c>
      <c r="F952" t="s">
        <v>36</v>
      </c>
      <c r="G952" t="s">
        <v>255</v>
      </c>
      <c r="H952" t="s">
        <v>38</v>
      </c>
      <c r="I952" t="s">
        <v>78</v>
      </c>
      <c r="J952" t="s">
        <v>307</v>
      </c>
      <c r="K952">
        <v>1</v>
      </c>
      <c r="L952" s="2">
        <v>481.92</v>
      </c>
      <c r="M952">
        <v>0.05</v>
      </c>
      <c r="N952">
        <v>45.56</v>
      </c>
    </row>
    <row r="953" spans="1:14" x14ac:dyDescent="0.35">
      <c r="A953" t="s">
        <v>1500</v>
      </c>
      <c r="B953" s="1">
        <v>46009</v>
      </c>
      <c r="C953" t="s">
        <v>587</v>
      </c>
      <c r="D953" t="s">
        <v>1425</v>
      </c>
      <c r="E953" t="s">
        <v>51</v>
      </c>
      <c r="F953" t="s">
        <v>99</v>
      </c>
      <c r="G953" t="s">
        <v>482</v>
      </c>
      <c r="H953" t="s">
        <v>29</v>
      </c>
      <c r="I953" t="s">
        <v>30</v>
      </c>
      <c r="J953" t="s">
        <v>112</v>
      </c>
      <c r="K953">
        <v>4</v>
      </c>
      <c r="L953" s="2">
        <v>105809.9</v>
      </c>
      <c r="M953">
        <v>0.05</v>
      </c>
      <c r="N953">
        <v>5551.09</v>
      </c>
    </row>
    <row r="954" spans="1:14" x14ac:dyDescent="0.35">
      <c r="A954" t="s">
        <v>1501</v>
      </c>
      <c r="B954" s="1">
        <v>46009</v>
      </c>
      <c r="C954" t="s">
        <v>126</v>
      </c>
      <c r="D954" t="s">
        <v>352</v>
      </c>
      <c r="E954" t="s">
        <v>51</v>
      </c>
      <c r="F954" t="s">
        <v>99</v>
      </c>
      <c r="G954" t="s">
        <v>231</v>
      </c>
      <c r="H954" t="s">
        <v>38</v>
      </c>
      <c r="I954" t="s">
        <v>78</v>
      </c>
      <c r="J954" t="s">
        <v>79</v>
      </c>
      <c r="K954">
        <v>3</v>
      </c>
      <c r="L954" s="2">
        <v>1074.27</v>
      </c>
      <c r="M954">
        <v>0.05</v>
      </c>
      <c r="N954">
        <v>147.19</v>
      </c>
    </row>
    <row r="955" spans="1:14" x14ac:dyDescent="0.35">
      <c r="A955" t="s">
        <v>1502</v>
      </c>
      <c r="B955" s="1">
        <v>46010</v>
      </c>
      <c r="C955" t="s">
        <v>1229</v>
      </c>
      <c r="D955" t="s">
        <v>1037</v>
      </c>
      <c r="E955" t="s">
        <v>26</v>
      </c>
      <c r="F955" t="s">
        <v>44</v>
      </c>
      <c r="G955" t="s">
        <v>116</v>
      </c>
      <c r="H955" t="s">
        <v>29</v>
      </c>
      <c r="I955" t="s">
        <v>94</v>
      </c>
      <c r="J955" t="s">
        <v>106</v>
      </c>
      <c r="K955">
        <v>5</v>
      </c>
      <c r="L955" s="2">
        <v>352334.28</v>
      </c>
      <c r="M955">
        <v>0.1</v>
      </c>
      <c r="N955">
        <v>15645.91</v>
      </c>
    </row>
    <row r="956" spans="1:14" x14ac:dyDescent="0.35">
      <c r="A956" t="s">
        <v>1503</v>
      </c>
      <c r="B956" s="1">
        <v>46010</v>
      </c>
      <c r="C956" t="s">
        <v>531</v>
      </c>
      <c r="D956" t="s">
        <v>485</v>
      </c>
      <c r="E956" t="s">
        <v>17</v>
      </c>
      <c r="F956" t="s">
        <v>210</v>
      </c>
      <c r="G956" t="s">
        <v>211</v>
      </c>
      <c r="H956" t="s">
        <v>29</v>
      </c>
      <c r="I956" t="s">
        <v>30</v>
      </c>
      <c r="J956" t="s">
        <v>31</v>
      </c>
      <c r="K956">
        <v>6</v>
      </c>
      <c r="L956" s="2">
        <v>94721.08</v>
      </c>
      <c r="M956">
        <v>0.05</v>
      </c>
      <c r="N956">
        <v>14668.73</v>
      </c>
    </row>
    <row r="957" spans="1:14" x14ac:dyDescent="0.35">
      <c r="A957" t="s">
        <v>1504</v>
      </c>
      <c r="B957" s="1">
        <v>46010</v>
      </c>
      <c r="C957" t="s">
        <v>399</v>
      </c>
      <c r="D957" t="s">
        <v>910</v>
      </c>
      <c r="E957" t="s">
        <v>35</v>
      </c>
      <c r="F957" t="s">
        <v>128</v>
      </c>
      <c r="G957" t="s">
        <v>354</v>
      </c>
      <c r="H957" t="s">
        <v>20</v>
      </c>
      <c r="I957" t="s">
        <v>46</v>
      </c>
      <c r="J957" t="s">
        <v>47</v>
      </c>
      <c r="K957">
        <v>1</v>
      </c>
      <c r="L957" s="2">
        <v>6197</v>
      </c>
      <c r="M957">
        <v>0.05</v>
      </c>
      <c r="N957">
        <v>425.61</v>
      </c>
    </row>
    <row r="958" spans="1:14" x14ac:dyDescent="0.35">
      <c r="A958" t="s">
        <v>1505</v>
      </c>
      <c r="B958" s="1">
        <v>46011</v>
      </c>
      <c r="C958" t="s">
        <v>97</v>
      </c>
      <c r="D958" t="s">
        <v>812</v>
      </c>
      <c r="E958" t="s">
        <v>26</v>
      </c>
      <c r="F958" t="s">
        <v>86</v>
      </c>
      <c r="G958" t="s">
        <v>87</v>
      </c>
      <c r="H958" t="s">
        <v>29</v>
      </c>
      <c r="I958" t="s">
        <v>30</v>
      </c>
      <c r="J958" t="s">
        <v>112</v>
      </c>
      <c r="K958">
        <v>7</v>
      </c>
      <c r="L958" s="2">
        <v>164454.18</v>
      </c>
      <c r="M958">
        <v>0.2</v>
      </c>
      <c r="N958">
        <v>28467.75</v>
      </c>
    </row>
    <row r="959" spans="1:14" x14ac:dyDescent="0.35">
      <c r="A959" t="s">
        <v>1506</v>
      </c>
      <c r="B959" s="1">
        <v>46011</v>
      </c>
      <c r="C959" t="s">
        <v>747</v>
      </c>
      <c r="D959" t="s">
        <v>726</v>
      </c>
      <c r="E959" t="s">
        <v>26</v>
      </c>
      <c r="F959" t="s">
        <v>27</v>
      </c>
      <c r="G959" t="s">
        <v>28</v>
      </c>
      <c r="H959" t="s">
        <v>29</v>
      </c>
      <c r="I959" t="s">
        <v>94</v>
      </c>
      <c r="J959" t="s">
        <v>138</v>
      </c>
      <c r="K959">
        <v>6</v>
      </c>
      <c r="L959" s="2">
        <v>258956.01</v>
      </c>
      <c r="M959">
        <v>0.05</v>
      </c>
      <c r="N959">
        <v>18347.52</v>
      </c>
    </row>
    <row r="960" spans="1:14" x14ac:dyDescent="0.35">
      <c r="A960" t="s">
        <v>1507</v>
      </c>
      <c r="B960" s="1">
        <v>46011</v>
      </c>
      <c r="C960" t="s">
        <v>278</v>
      </c>
      <c r="D960" t="s">
        <v>371</v>
      </c>
      <c r="E960" t="s">
        <v>51</v>
      </c>
      <c r="F960" t="s">
        <v>104</v>
      </c>
      <c r="G960" t="s">
        <v>206</v>
      </c>
      <c r="H960" t="s">
        <v>20</v>
      </c>
      <c r="I960" t="s">
        <v>46</v>
      </c>
      <c r="J960" t="s">
        <v>47</v>
      </c>
      <c r="K960">
        <v>4</v>
      </c>
      <c r="L960" s="2">
        <v>21729.24</v>
      </c>
      <c r="M960">
        <v>0.2</v>
      </c>
      <c r="N960">
        <v>818.06</v>
      </c>
    </row>
    <row r="961" spans="1:14" x14ac:dyDescent="0.35">
      <c r="A961" t="s">
        <v>1508</v>
      </c>
      <c r="B961" s="1">
        <v>46011</v>
      </c>
      <c r="C961" t="s">
        <v>945</v>
      </c>
      <c r="D961" t="s">
        <v>726</v>
      </c>
      <c r="E961" t="s">
        <v>26</v>
      </c>
      <c r="F961" t="s">
        <v>27</v>
      </c>
      <c r="G961" t="s">
        <v>28</v>
      </c>
      <c r="H961" t="s">
        <v>20</v>
      </c>
      <c r="I961" t="s">
        <v>65</v>
      </c>
      <c r="J961" t="s">
        <v>117</v>
      </c>
      <c r="K961">
        <v>6</v>
      </c>
      <c r="L961" s="2">
        <v>34787.54</v>
      </c>
      <c r="M961">
        <v>0</v>
      </c>
      <c r="N961">
        <v>4317.6000000000004</v>
      </c>
    </row>
    <row r="962" spans="1:14" x14ac:dyDescent="0.35">
      <c r="A962" t="s">
        <v>1509</v>
      </c>
      <c r="B962" s="1">
        <v>46012</v>
      </c>
      <c r="C962" t="s">
        <v>389</v>
      </c>
      <c r="D962" t="s">
        <v>763</v>
      </c>
      <c r="E962" t="s">
        <v>35</v>
      </c>
      <c r="F962" t="s">
        <v>70</v>
      </c>
      <c r="G962" t="s">
        <v>71</v>
      </c>
      <c r="H962" t="s">
        <v>29</v>
      </c>
      <c r="I962" t="s">
        <v>58</v>
      </c>
      <c r="J962" t="s">
        <v>88</v>
      </c>
      <c r="K962">
        <v>6</v>
      </c>
      <c r="L962" s="2">
        <v>11990.1</v>
      </c>
      <c r="M962">
        <v>0.15</v>
      </c>
      <c r="N962">
        <v>560.48</v>
      </c>
    </row>
    <row r="963" spans="1:14" x14ac:dyDescent="0.35">
      <c r="A963" t="s">
        <v>1510</v>
      </c>
      <c r="B963" s="1">
        <v>46012</v>
      </c>
      <c r="C963" t="s">
        <v>328</v>
      </c>
      <c r="D963" t="s">
        <v>889</v>
      </c>
      <c r="E963" t="s">
        <v>26</v>
      </c>
      <c r="F963" t="s">
        <v>27</v>
      </c>
      <c r="G963" t="s">
        <v>249</v>
      </c>
      <c r="H963" t="s">
        <v>38</v>
      </c>
      <c r="I963" t="s">
        <v>218</v>
      </c>
      <c r="J963" t="s">
        <v>225</v>
      </c>
      <c r="K963">
        <v>2</v>
      </c>
      <c r="L963" s="2">
        <v>498.18</v>
      </c>
      <c r="M963">
        <v>0.05</v>
      </c>
      <c r="N963">
        <v>29.61</v>
      </c>
    </row>
    <row r="964" spans="1:14" x14ac:dyDescent="0.35">
      <c r="A964" t="s">
        <v>1511</v>
      </c>
      <c r="B964" s="1">
        <v>46013</v>
      </c>
      <c r="C964" t="s">
        <v>286</v>
      </c>
      <c r="D964" t="s">
        <v>960</v>
      </c>
      <c r="E964" t="s">
        <v>51</v>
      </c>
      <c r="F964" t="s">
        <v>99</v>
      </c>
      <c r="G964" t="s">
        <v>482</v>
      </c>
      <c r="H964" t="s">
        <v>20</v>
      </c>
      <c r="I964" t="s">
        <v>65</v>
      </c>
      <c r="J964" t="s">
        <v>117</v>
      </c>
      <c r="K964">
        <v>2</v>
      </c>
      <c r="L964" s="2">
        <v>9973.6200000000008</v>
      </c>
      <c r="M964">
        <v>0.05</v>
      </c>
      <c r="N964">
        <v>986.74</v>
      </c>
    </row>
    <row r="965" spans="1:14" x14ac:dyDescent="0.35">
      <c r="A965" t="s">
        <v>1512</v>
      </c>
      <c r="B965" s="1">
        <v>46013</v>
      </c>
      <c r="C965" t="s">
        <v>351</v>
      </c>
      <c r="D965" t="s">
        <v>412</v>
      </c>
      <c r="E965" t="s">
        <v>51</v>
      </c>
      <c r="F965" t="s">
        <v>92</v>
      </c>
      <c r="G965" t="s">
        <v>178</v>
      </c>
      <c r="H965" t="s">
        <v>29</v>
      </c>
      <c r="I965" t="s">
        <v>58</v>
      </c>
      <c r="J965" t="s">
        <v>59</v>
      </c>
      <c r="K965">
        <v>1</v>
      </c>
      <c r="L965" s="2">
        <v>730.63</v>
      </c>
      <c r="M965">
        <v>0.15</v>
      </c>
      <c r="N965">
        <v>150.26</v>
      </c>
    </row>
    <row r="966" spans="1:14" x14ac:dyDescent="0.35">
      <c r="A966" t="s">
        <v>1513</v>
      </c>
      <c r="B966" s="1">
        <v>46013</v>
      </c>
      <c r="C966" t="s">
        <v>892</v>
      </c>
      <c r="D966" t="s">
        <v>279</v>
      </c>
      <c r="E966" t="s">
        <v>17</v>
      </c>
      <c r="F966" t="s">
        <v>185</v>
      </c>
      <c r="G966" t="s">
        <v>528</v>
      </c>
      <c r="H966" t="s">
        <v>20</v>
      </c>
      <c r="I966" t="s">
        <v>65</v>
      </c>
      <c r="J966" t="s">
        <v>66</v>
      </c>
      <c r="K966">
        <v>4</v>
      </c>
      <c r="L966" s="2">
        <v>34144.339999999997</v>
      </c>
      <c r="M966">
        <v>0.1</v>
      </c>
      <c r="N966">
        <v>4545.8999999999996</v>
      </c>
    </row>
    <row r="967" spans="1:14" x14ac:dyDescent="0.35">
      <c r="A967" t="s">
        <v>1514</v>
      </c>
      <c r="B967" s="1">
        <v>46013</v>
      </c>
      <c r="C967" t="s">
        <v>220</v>
      </c>
      <c r="D967" t="s">
        <v>396</v>
      </c>
      <c r="E967" t="s">
        <v>35</v>
      </c>
      <c r="F967" t="s">
        <v>70</v>
      </c>
      <c r="G967" t="s">
        <v>71</v>
      </c>
      <c r="H967" t="s">
        <v>29</v>
      </c>
      <c r="I967" t="s">
        <v>58</v>
      </c>
      <c r="J967" t="s">
        <v>59</v>
      </c>
      <c r="K967">
        <v>6</v>
      </c>
      <c r="L967" s="2">
        <v>4998.8999999999996</v>
      </c>
      <c r="M967">
        <v>0.05</v>
      </c>
      <c r="N967">
        <v>808.57</v>
      </c>
    </row>
    <row r="968" spans="1:14" x14ac:dyDescent="0.35">
      <c r="A968" t="s">
        <v>1515</v>
      </c>
      <c r="B968" s="1">
        <v>46013</v>
      </c>
      <c r="C968" t="s">
        <v>253</v>
      </c>
      <c r="D968" t="s">
        <v>75</v>
      </c>
      <c r="E968" t="s">
        <v>26</v>
      </c>
      <c r="F968" t="s">
        <v>27</v>
      </c>
      <c r="G968" t="s">
        <v>28</v>
      </c>
      <c r="H968" t="s">
        <v>38</v>
      </c>
      <c r="I968" t="s">
        <v>39</v>
      </c>
      <c r="J968" t="s">
        <v>258</v>
      </c>
      <c r="K968">
        <v>1</v>
      </c>
      <c r="L968" s="2">
        <v>593.63</v>
      </c>
      <c r="M968">
        <v>0.05</v>
      </c>
      <c r="N968">
        <v>117.15</v>
      </c>
    </row>
    <row r="969" spans="1:14" x14ac:dyDescent="0.35">
      <c r="A969" t="s">
        <v>1516</v>
      </c>
      <c r="B969" s="1">
        <v>46014</v>
      </c>
      <c r="C969" t="s">
        <v>167</v>
      </c>
      <c r="D969" t="s">
        <v>519</v>
      </c>
      <c r="E969" t="s">
        <v>35</v>
      </c>
      <c r="F969" t="s">
        <v>36</v>
      </c>
      <c r="G969" t="s">
        <v>37</v>
      </c>
      <c r="H969" t="s">
        <v>29</v>
      </c>
      <c r="I969" t="s">
        <v>58</v>
      </c>
      <c r="J969" t="s">
        <v>300</v>
      </c>
      <c r="K969">
        <v>5</v>
      </c>
      <c r="L969" s="2">
        <v>7544.37</v>
      </c>
      <c r="M969">
        <v>0</v>
      </c>
      <c r="N969">
        <v>1257.8699999999999</v>
      </c>
    </row>
    <row r="970" spans="1:14" x14ac:dyDescent="0.35">
      <c r="A970" t="s">
        <v>1517</v>
      </c>
      <c r="B970" s="1">
        <v>46014</v>
      </c>
      <c r="C970" t="s">
        <v>320</v>
      </c>
      <c r="D970" t="s">
        <v>677</v>
      </c>
      <c r="E970" t="s">
        <v>26</v>
      </c>
      <c r="F970" t="s">
        <v>86</v>
      </c>
      <c r="G970" t="s">
        <v>87</v>
      </c>
      <c r="H970" t="s">
        <v>20</v>
      </c>
      <c r="I970" t="s">
        <v>21</v>
      </c>
      <c r="J970" t="s">
        <v>22</v>
      </c>
      <c r="K970">
        <v>6</v>
      </c>
      <c r="L970" s="2">
        <v>38355.75</v>
      </c>
      <c r="M970">
        <v>0</v>
      </c>
      <c r="N970">
        <v>5573.9</v>
      </c>
    </row>
    <row r="971" spans="1:14" x14ac:dyDescent="0.35">
      <c r="A971" t="s">
        <v>1518</v>
      </c>
      <c r="B971" s="1">
        <v>46015</v>
      </c>
      <c r="C971" t="s">
        <v>409</v>
      </c>
      <c r="D971" t="s">
        <v>955</v>
      </c>
      <c r="E971" t="s">
        <v>17</v>
      </c>
      <c r="F971" t="s">
        <v>185</v>
      </c>
      <c r="G971" t="s">
        <v>186</v>
      </c>
      <c r="H971" t="s">
        <v>29</v>
      </c>
      <c r="I971" t="s">
        <v>58</v>
      </c>
      <c r="J971" t="s">
        <v>300</v>
      </c>
      <c r="K971">
        <v>3</v>
      </c>
      <c r="L971" s="2">
        <v>3887.97</v>
      </c>
      <c r="M971">
        <v>0.15</v>
      </c>
      <c r="N971">
        <v>574.49</v>
      </c>
    </row>
    <row r="972" spans="1:14" x14ac:dyDescent="0.35">
      <c r="A972" t="s">
        <v>1519</v>
      </c>
      <c r="B972" s="1">
        <v>46015</v>
      </c>
      <c r="C972" t="s">
        <v>114</v>
      </c>
      <c r="D972" t="s">
        <v>804</v>
      </c>
      <c r="E972" t="s">
        <v>26</v>
      </c>
      <c r="F972" t="s">
        <v>44</v>
      </c>
      <c r="G972" t="s">
        <v>116</v>
      </c>
      <c r="H972" t="s">
        <v>38</v>
      </c>
      <c r="I972" t="s">
        <v>39</v>
      </c>
      <c r="J972" t="s">
        <v>258</v>
      </c>
      <c r="K972">
        <v>6</v>
      </c>
      <c r="L972" s="2">
        <v>3184.41</v>
      </c>
      <c r="M972">
        <v>0.15</v>
      </c>
      <c r="N972">
        <v>337.69</v>
      </c>
    </row>
    <row r="973" spans="1:14" x14ac:dyDescent="0.35">
      <c r="A973" t="s">
        <v>1520</v>
      </c>
      <c r="B973" s="1">
        <v>46016</v>
      </c>
      <c r="C973" t="s">
        <v>1521</v>
      </c>
      <c r="D973" t="s">
        <v>838</v>
      </c>
      <c r="E973" t="s">
        <v>17</v>
      </c>
      <c r="F973" t="s">
        <v>18</v>
      </c>
      <c r="G973" t="s">
        <v>19</v>
      </c>
      <c r="H973" t="s">
        <v>20</v>
      </c>
      <c r="I973" t="s">
        <v>46</v>
      </c>
      <c r="J973" t="s">
        <v>130</v>
      </c>
      <c r="K973">
        <v>3</v>
      </c>
      <c r="L973" s="2">
        <v>21887.51</v>
      </c>
      <c r="M973">
        <v>0.15</v>
      </c>
      <c r="N973">
        <v>3694.04</v>
      </c>
    </row>
    <row r="974" spans="1:14" x14ac:dyDescent="0.35">
      <c r="A974" t="s">
        <v>1522</v>
      </c>
      <c r="B974" s="1">
        <v>46016</v>
      </c>
      <c r="C974" t="s">
        <v>666</v>
      </c>
      <c r="D974" t="s">
        <v>263</v>
      </c>
      <c r="E974" t="s">
        <v>51</v>
      </c>
      <c r="F974" t="s">
        <v>52</v>
      </c>
      <c r="G974" t="s">
        <v>53</v>
      </c>
      <c r="H974" t="s">
        <v>20</v>
      </c>
      <c r="I974" t="s">
        <v>65</v>
      </c>
      <c r="J974" t="s">
        <v>117</v>
      </c>
      <c r="K974">
        <v>6</v>
      </c>
      <c r="L974" s="2">
        <v>30458.85</v>
      </c>
      <c r="M974">
        <v>0.05</v>
      </c>
      <c r="N974">
        <v>4869.4799999999996</v>
      </c>
    </row>
    <row r="975" spans="1:14" x14ac:dyDescent="0.35">
      <c r="A975" t="s">
        <v>1523</v>
      </c>
      <c r="B975" s="1">
        <v>46016</v>
      </c>
      <c r="C975" t="s">
        <v>847</v>
      </c>
      <c r="D975" t="s">
        <v>812</v>
      </c>
      <c r="E975" t="s">
        <v>26</v>
      </c>
      <c r="F975" t="s">
        <v>121</v>
      </c>
      <c r="G975" t="s">
        <v>214</v>
      </c>
      <c r="H975" t="s">
        <v>20</v>
      </c>
      <c r="I975" t="s">
        <v>65</v>
      </c>
      <c r="J975" t="s">
        <v>66</v>
      </c>
      <c r="K975">
        <v>3</v>
      </c>
      <c r="L975" s="2">
        <v>29243.47</v>
      </c>
      <c r="M975">
        <v>0</v>
      </c>
      <c r="N975">
        <v>1764.5</v>
      </c>
    </row>
    <row r="976" spans="1:14" x14ac:dyDescent="0.35">
      <c r="A976" t="s">
        <v>1524</v>
      </c>
      <c r="B976" s="1">
        <v>46016</v>
      </c>
      <c r="C976" t="s">
        <v>74</v>
      </c>
      <c r="D976" t="s">
        <v>133</v>
      </c>
      <c r="E976" t="s">
        <v>17</v>
      </c>
      <c r="F976" t="s">
        <v>18</v>
      </c>
      <c r="G976" t="s">
        <v>19</v>
      </c>
      <c r="H976" t="s">
        <v>29</v>
      </c>
      <c r="I976" t="s">
        <v>94</v>
      </c>
      <c r="J976" t="s">
        <v>106</v>
      </c>
      <c r="K976">
        <v>3</v>
      </c>
      <c r="L976" s="2">
        <v>227149</v>
      </c>
      <c r="M976">
        <v>0.1</v>
      </c>
      <c r="N976">
        <v>39637.39</v>
      </c>
    </row>
    <row r="977" spans="1:14" x14ac:dyDescent="0.35">
      <c r="A977" t="s">
        <v>1525</v>
      </c>
      <c r="B977" s="1">
        <v>46016</v>
      </c>
      <c r="C977" t="s">
        <v>167</v>
      </c>
      <c r="D977" t="s">
        <v>403</v>
      </c>
      <c r="E977" t="s">
        <v>26</v>
      </c>
      <c r="F977" t="s">
        <v>121</v>
      </c>
      <c r="G977" t="s">
        <v>214</v>
      </c>
      <c r="H977" t="s">
        <v>20</v>
      </c>
      <c r="I977" t="s">
        <v>46</v>
      </c>
      <c r="J977" t="s">
        <v>130</v>
      </c>
      <c r="K977">
        <v>1</v>
      </c>
      <c r="L977" s="2">
        <v>7122.05</v>
      </c>
      <c r="M977">
        <v>0.15</v>
      </c>
      <c r="N977">
        <v>988.36</v>
      </c>
    </row>
    <row r="978" spans="1:14" x14ac:dyDescent="0.35">
      <c r="A978" t="s">
        <v>1526</v>
      </c>
      <c r="B978" s="1">
        <v>46016</v>
      </c>
      <c r="C978" t="s">
        <v>382</v>
      </c>
      <c r="D978" t="s">
        <v>141</v>
      </c>
      <c r="E978" t="s">
        <v>17</v>
      </c>
      <c r="F978" t="s">
        <v>18</v>
      </c>
      <c r="G978" t="s">
        <v>19</v>
      </c>
      <c r="H978" t="s">
        <v>29</v>
      </c>
      <c r="I978" t="s">
        <v>30</v>
      </c>
      <c r="J978" t="s">
        <v>112</v>
      </c>
      <c r="K978">
        <v>4</v>
      </c>
      <c r="L978" s="2">
        <v>110535.29</v>
      </c>
      <c r="M978">
        <v>0</v>
      </c>
      <c r="N978">
        <v>17760.18</v>
      </c>
    </row>
    <row r="979" spans="1:14" x14ac:dyDescent="0.35">
      <c r="A979" t="s">
        <v>1527</v>
      </c>
      <c r="B979" s="1">
        <v>46017</v>
      </c>
      <c r="C979" t="s">
        <v>382</v>
      </c>
      <c r="D979" t="s">
        <v>896</v>
      </c>
      <c r="E979" t="s">
        <v>35</v>
      </c>
      <c r="F979" t="s">
        <v>36</v>
      </c>
      <c r="G979" t="s">
        <v>37</v>
      </c>
      <c r="H979" t="s">
        <v>20</v>
      </c>
      <c r="I979" t="s">
        <v>46</v>
      </c>
      <c r="J979" t="s">
        <v>130</v>
      </c>
      <c r="K979">
        <v>3</v>
      </c>
      <c r="L979" s="2">
        <v>24150.01</v>
      </c>
      <c r="M979">
        <v>0.1</v>
      </c>
      <c r="N979">
        <v>5135.1000000000004</v>
      </c>
    </row>
    <row r="980" spans="1:14" x14ac:dyDescent="0.35">
      <c r="A980" t="s">
        <v>1528</v>
      </c>
      <c r="B980" s="1">
        <v>46018</v>
      </c>
      <c r="C980" t="s">
        <v>90</v>
      </c>
      <c r="D980" t="s">
        <v>425</v>
      </c>
      <c r="E980" t="s">
        <v>35</v>
      </c>
      <c r="F980" t="s">
        <v>70</v>
      </c>
      <c r="G980" t="s">
        <v>71</v>
      </c>
      <c r="H980" t="s">
        <v>38</v>
      </c>
      <c r="I980" t="s">
        <v>218</v>
      </c>
      <c r="J980" t="s">
        <v>221</v>
      </c>
      <c r="K980">
        <v>3</v>
      </c>
      <c r="L980" s="2">
        <v>454.59</v>
      </c>
      <c r="M980">
        <v>0.2</v>
      </c>
      <c r="N980">
        <v>63.67</v>
      </c>
    </row>
    <row r="981" spans="1:14" x14ac:dyDescent="0.35">
      <c r="A981" t="s">
        <v>1529</v>
      </c>
      <c r="B981" s="1">
        <v>46018</v>
      </c>
      <c r="C981" t="s">
        <v>1193</v>
      </c>
      <c r="D981" t="s">
        <v>266</v>
      </c>
      <c r="E981" t="s">
        <v>51</v>
      </c>
      <c r="F981" t="s">
        <v>52</v>
      </c>
      <c r="G981" t="s">
        <v>53</v>
      </c>
      <c r="H981" t="s">
        <v>29</v>
      </c>
      <c r="I981" t="s">
        <v>94</v>
      </c>
      <c r="J981" t="s">
        <v>138</v>
      </c>
      <c r="K981">
        <v>5</v>
      </c>
      <c r="L981" s="2">
        <v>205404.77</v>
      </c>
      <c r="M981">
        <v>0.1</v>
      </c>
      <c r="N981">
        <v>10707.31</v>
      </c>
    </row>
    <row r="982" spans="1:14" x14ac:dyDescent="0.35">
      <c r="A982" t="s">
        <v>1530</v>
      </c>
      <c r="B982" s="1">
        <v>46019</v>
      </c>
      <c r="C982" t="s">
        <v>438</v>
      </c>
      <c r="D982" t="s">
        <v>420</v>
      </c>
      <c r="E982" t="s">
        <v>51</v>
      </c>
      <c r="F982" t="s">
        <v>104</v>
      </c>
      <c r="G982" t="s">
        <v>206</v>
      </c>
      <c r="H982" t="s">
        <v>20</v>
      </c>
      <c r="I982" t="s">
        <v>65</v>
      </c>
      <c r="J982" t="s">
        <v>117</v>
      </c>
      <c r="K982">
        <v>6</v>
      </c>
      <c r="L982" s="2">
        <v>29445.48</v>
      </c>
      <c r="M982">
        <v>0.15</v>
      </c>
      <c r="N982">
        <v>3005.33</v>
      </c>
    </row>
    <row r="983" spans="1:14" x14ac:dyDescent="0.35">
      <c r="A983" t="s">
        <v>1531</v>
      </c>
      <c r="B983" s="1">
        <v>46019</v>
      </c>
      <c r="C983" t="s">
        <v>499</v>
      </c>
      <c r="D983" t="s">
        <v>446</v>
      </c>
      <c r="E983" t="s">
        <v>51</v>
      </c>
      <c r="F983" t="s">
        <v>99</v>
      </c>
      <c r="G983" t="s">
        <v>100</v>
      </c>
      <c r="H983" t="s">
        <v>20</v>
      </c>
      <c r="I983" t="s">
        <v>21</v>
      </c>
      <c r="J983" t="s">
        <v>197</v>
      </c>
      <c r="K983">
        <v>4</v>
      </c>
      <c r="L983" s="2">
        <v>45586.79</v>
      </c>
      <c r="M983">
        <v>0.05</v>
      </c>
      <c r="N983">
        <v>4983.34</v>
      </c>
    </row>
    <row r="984" spans="1:14" x14ac:dyDescent="0.35">
      <c r="A984" t="s">
        <v>1532</v>
      </c>
      <c r="B984" s="1">
        <v>46021</v>
      </c>
      <c r="C984" t="s">
        <v>303</v>
      </c>
      <c r="D984" t="s">
        <v>98</v>
      </c>
      <c r="E984" t="s">
        <v>51</v>
      </c>
      <c r="F984" t="s">
        <v>104</v>
      </c>
      <c r="G984" t="s">
        <v>206</v>
      </c>
      <c r="H984" t="s">
        <v>38</v>
      </c>
      <c r="I984" t="s">
        <v>78</v>
      </c>
      <c r="J984" t="s">
        <v>307</v>
      </c>
      <c r="K984">
        <v>3</v>
      </c>
      <c r="L984" s="2">
        <v>1512.02</v>
      </c>
      <c r="M984">
        <v>0.15</v>
      </c>
      <c r="N984">
        <v>290.66000000000003</v>
      </c>
    </row>
    <row r="985" spans="1:14" x14ac:dyDescent="0.35">
      <c r="A985" t="s">
        <v>1533</v>
      </c>
      <c r="B985" s="1">
        <v>46021</v>
      </c>
      <c r="C985" t="s">
        <v>577</v>
      </c>
      <c r="D985" t="s">
        <v>346</v>
      </c>
      <c r="E985" t="s">
        <v>26</v>
      </c>
      <c r="F985" t="s">
        <v>44</v>
      </c>
      <c r="G985" t="s">
        <v>45</v>
      </c>
      <c r="H985" t="s">
        <v>38</v>
      </c>
      <c r="I985" t="s">
        <v>39</v>
      </c>
      <c r="J985" t="s">
        <v>134</v>
      </c>
      <c r="K985">
        <v>6</v>
      </c>
      <c r="L985" s="2">
        <v>4828.25</v>
      </c>
      <c r="M985">
        <v>0</v>
      </c>
      <c r="N985">
        <v>350.88</v>
      </c>
    </row>
    <row r="986" spans="1:14" x14ac:dyDescent="0.35">
      <c r="A986" t="s">
        <v>1534</v>
      </c>
      <c r="B986" s="1">
        <v>46021</v>
      </c>
      <c r="C986" t="s">
        <v>1535</v>
      </c>
      <c r="D986" t="s">
        <v>190</v>
      </c>
      <c r="E986" t="s">
        <v>35</v>
      </c>
      <c r="F986" t="s">
        <v>128</v>
      </c>
      <c r="G986" t="s">
        <v>354</v>
      </c>
      <c r="H986" t="s">
        <v>29</v>
      </c>
      <c r="I986" t="s">
        <v>58</v>
      </c>
      <c r="J986" t="s">
        <v>88</v>
      </c>
      <c r="K986">
        <v>3</v>
      </c>
      <c r="L986" s="2">
        <v>7417.19</v>
      </c>
      <c r="M986">
        <v>0.05</v>
      </c>
      <c r="N986">
        <v>1091.3599999999999</v>
      </c>
    </row>
    <row r="987" spans="1:14" x14ac:dyDescent="0.35">
      <c r="A987" t="s">
        <v>1536</v>
      </c>
      <c r="B987" s="1">
        <v>46022</v>
      </c>
      <c r="C987" t="s">
        <v>697</v>
      </c>
      <c r="D987" t="s">
        <v>642</v>
      </c>
      <c r="E987" t="s">
        <v>26</v>
      </c>
      <c r="F987" t="s">
        <v>121</v>
      </c>
      <c r="G987" t="s">
        <v>214</v>
      </c>
      <c r="H987" t="s">
        <v>20</v>
      </c>
      <c r="I987" t="s">
        <v>46</v>
      </c>
      <c r="J987" t="s">
        <v>47</v>
      </c>
      <c r="K987">
        <v>2</v>
      </c>
      <c r="L987" s="2">
        <v>11745.31</v>
      </c>
      <c r="M987">
        <v>0.2</v>
      </c>
      <c r="N987">
        <v>579.76</v>
      </c>
    </row>
    <row r="988" spans="1:14" x14ac:dyDescent="0.35">
      <c r="A988" t="s">
        <v>1537</v>
      </c>
      <c r="B988" s="1">
        <v>46022</v>
      </c>
      <c r="C988" t="s">
        <v>892</v>
      </c>
      <c r="D988" t="s">
        <v>62</v>
      </c>
      <c r="E988" t="s">
        <v>35</v>
      </c>
      <c r="F988" t="s">
        <v>110</v>
      </c>
      <c r="G988" t="s">
        <v>111</v>
      </c>
      <c r="H988" t="s">
        <v>20</v>
      </c>
      <c r="I988" t="s">
        <v>65</v>
      </c>
      <c r="J988" t="s">
        <v>117</v>
      </c>
      <c r="K988">
        <v>2</v>
      </c>
      <c r="L988" s="2">
        <v>9983.86</v>
      </c>
      <c r="M988">
        <v>0.05</v>
      </c>
      <c r="N988">
        <v>2274.13</v>
      </c>
    </row>
    <row r="989" spans="1:14" x14ac:dyDescent="0.35">
      <c r="A989" t="s">
        <v>1538</v>
      </c>
      <c r="B989" s="1">
        <v>46022</v>
      </c>
      <c r="C989" t="s">
        <v>438</v>
      </c>
      <c r="D989" t="s">
        <v>133</v>
      </c>
      <c r="E989" t="s">
        <v>26</v>
      </c>
      <c r="F989" t="s">
        <v>44</v>
      </c>
      <c r="G989" t="s">
        <v>116</v>
      </c>
      <c r="H989" t="s">
        <v>38</v>
      </c>
      <c r="I989" t="s">
        <v>218</v>
      </c>
      <c r="J989" t="s">
        <v>221</v>
      </c>
      <c r="K989">
        <v>5</v>
      </c>
      <c r="L989" s="2">
        <v>867.79</v>
      </c>
      <c r="M989">
        <v>0.1</v>
      </c>
      <c r="N989">
        <v>80.92</v>
      </c>
    </row>
    <row r="990" spans="1:14" x14ac:dyDescent="0.35">
      <c r="A990" t="s">
        <v>1539</v>
      </c>
      <c r="B990" s="1">
        <v>46022</v>
      </c>
      <c r="C990" t="s">
        <v>335</v>
      </c>
      <c r="D990" t="s">
        <v>115</v>
      </c>
      <c r="E990" t="s">
        <v>26</v>
      </c>
      <c r="F990" t="s">
        <v>44</v>
      </c>
      <c r="G990" t="s">
        <v>116</v>
      </c>
      <c r="H990" t="s">
        <v>20</v>
      </c>
      <c r="I990" t="s">
        <v>21</v>
      </c>
      <c r="J990" t="s">
        <v>22</v>
      </c>
      <c r="K990">
        <v>3</v>
      </c>
      <c r="L990" s="2">
        <v>19178.310000000001</v>
      </c>
      <c r="M990">
        <v>0.05</v>
      </c>
      <c r="N990">
        <v>2724.79</v>
      </c>
    </row>
    <row r="991" spans="1:14" x14ac:dyDescent="0.35">
      <c r="A991" t="s">
        <v>1540</v>
      </c>
      <c r="B991" s="1">
        <v>46022</v>
      </c>
      <c r="C991" t="s">
        <v>954</v>
      </c>
      <c r="D991" t="s">
        <v>598</v>
      </c>
      <c r="E991" t="s">
        <v>51</v>
      </c>
      <c r="F991" t="s">
        <v>104</v>
      </c>
      <c r="G991" t="s">
        <v>105</v>
      </c>
      <c r="H991" t="s">
        <v>29</v>
      </c>
      <c r="I991" t="s">
        <v>30</v>
      </c>
      <c r="J991" t="s">
        <v>182</v>
      </c>
      <c r="K991">
        <v>1</v>
      </c>
      <c r="L991" s="2">
        <v>38323.03</v>
      </c>
      <c r="M991">
        <v>0.1</v>
      </c>
      <c r="N991">
        <v>6345.55</v>
      </c>
    </row>
    <row r="992" spans="1:14" x14ac:dyDescent="0.35">
      <c r="A992" t="s">
        <v>1541</v>
      </c>
      <c r="B992" s="1">
        <v>46022</v>
      </c>
      <c r="C992" t="s">
        <v>999</v>
      </c>
      <c r="D992" t="s">
        <v>339</v>
      </c>
      <c r="E992" t="s">
        <v>26</v>
      </c>
      <c r="F992" t="s">
        <v>86</v>
      </c>
      <c r="G992" t="s">
        <v>87</v>
      </c>
      <c r="H992" t="s">
        <v>29</v>
      </c>
      <c r="I992" t="s">
        <v>30</v>
      </c>
      <c r="J992" t="s">
        <v>112</v>
      </c>
      <c r="K992">
        <v>4</v>
      </c>
      <c r="L992" s="2">
        <v>101941.51</v>
      </c>
      <c r="M992">
        <v>0.1</v>
      </c>
      <c r="N992">
        <v>10611.85</v>
      </c>
    </row>
    <row r="993" spans="1:14" x14ac:dyDescent="0.35">
      <c r="A993" t="s">
        <v>1542</v>
      </c>
      <c r="B993" s="1">
        <v>46022</v>
      </c>
      <c r="C993" t="s">
        <v>494</v>
      </c>
      <c r="D993" t="s">
        <v>380</v>
      </c>
      <c r="E993" t="s">
        <v>51</v>
      </c>
      <c r="F993" t="s">
        <v>92</v>
      </c>
      <c r="G993" t="s">
        <v>93</v>
      </c>
      <c r="H993" t="s">
        <v>29</v>
      </c>
      <c r="I993" t="s">
        <v>30</v>
      </c>
      <c r="J993" t="s">
        <v>182</v>
      </c>
      <c r="K993">
        <v>7</v>
      </c>
      <c r="L993" s="2">
        <v>269656.83</v>
      </c>
      <c r="M993">
        <v>0.1</v>
      </c>
      <c r="N993">
        <v>49766.14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74FFFC-A666-4818-868F-2E6467345DA4}">
  <dimension ref="A3:F63"/>
  <sheetViews>
    <sheetView topLeftCell="A9" workbookViewId="0">
      <selection activeCell="F23" sqref="F23"/>
    </sheetView>
  </sheetViews>
  <sheetFormatPr defaultRowHeight="14.5" x14ac:dyDescent="0.35"/>
  <cols>
    <col min="1" max="1" width="15.08984375" bestFit="1" customWidth="1"/>
    <col min="2" max="3" width="11.54296875" bestFit="1" customWidth="1"/>
    <col min="5" max="5" width="12.453125" bestFit="1" customWidth="1"/>
    <col min="6" max="6" width="11.54296875" bestFit="1" customWidth="1"/>
  </cols>
  <sheetData>
    <row r="3" spans="1:6" x14ac:dyDescent="0.35">
      <c r="A3" s="3" t="s">
        <v>1543</v>
      </c>
      <c r="B3" t="s">
        <v>1545</v>
      </c>
      <c r="E3" s="3" t="s">
        <v>1543</v>
      </c>
      <c r="F3" t="s">
        <v>1546</v>
      </c>
    </row>
    <row r="4" spans="1:6" x14ac:dyDescent="0.35">
      <c r="A4" s="4" t="s">
        <v>17</v>
      </c>
      <c r="B4" s="2">
        <v>10776845.419999996</v>
      </c>
      <c r="E4" s="4" t="s">
        <v>17</v>
      </c>
      <c r="F4">
        <v>1565690.9200000002</v>
      </c>
    </row>
    <row r="5" spans="1:6" x14ac:dyDescent="0.35">
      <c r="A5" s="4" t="s">
        <v>35</v>
      </c>
      <c r="B5" s="2">
        <v>7942869.8100000061</v>
      </c>
      <c r="E5" s="4" t="s">
        <v>35</v>
      </c>
      <c r="F5">
        <v>993260.62999999989</v>
      </c>
    </row>
    <row r="6" spans="1:6" x14ac:dyDescent="0.35">
      <c r="A6" s="4" t="s">
        <v>51</v>
      </c>
      <c r="B6" s="2">
        <v>18630482.839999989</v>
      </c>
      <c r="E6" s="4" t="s">
        <v>51</v>
      </c>
      <c r="F6">
        <v>2302732.7700000005</v>
      </c>
    </row>
    <row r="7" spans="1:6" x14ac:dyDescent="0.35">
      <c r="A7" s="4" t="s">
        <v>26</v>
      </c>
      <c r="B7" s="2">
        <v>13731625.270000001</v>
      </c>
      <c r="E7" s="4" t="s">
        <v>26</v>
      </c>
      <c r="F7">
        <v>1807459.3500000013</v>
      </c>
    </row>
    <row r="8" spans="1:6" x14ac:dyDescent="0.35">
      <c r="A8" s="4" t="s">
        <v>1544</v>
      </c>
      <c r="B8" s="2">
        <v>51081823.339999996</v>
      </c>
      <c r="E8" s="4" t="s">
        <v>1544</v>
      </c>
      <c r="F8">
        <v>6669143.6700000018</v>
      </c>
    </row>
    <row r="13" spans="1:6" x14ac:dyDescent="0.35">
      <c r="A13" s="3" t="s">
        <v>1543</v>
      </c>
      <c r="B13" t="s">
        <v>1545</v>
      </c>
      <c r="E13" s="3" t="s">
        <v>1543</v>
      </c>
      <c r="F13" t="s">
        <v>1546</v>
      </c>
    </row>
    <row r="14" spans="1:6" x14ac:dyDescent="0.35">
      <c r="A14" s="4" t="s">
        <v>20</v>
      </c>
      <c r="B14" s="2">
        <v>10047213.869999997</v>
      </c>
      <c r="E14" s="4" t="s">
        <v>20</v>
      </c>
      <c r="F14">
        <v>1391430.7300000009</v>
      </c>
    </row>
    <row r="15" spans="1:6" x14ac:dyDescent="0.35">
      <c r="A15" s="4" t="s">
        <v>38</v>
      </c>
      <c r="B15" s="2">
        <v>414876.62000000005</v>
      </c>
      <c r="E15" s="4" t="s">
        <v>38</v>
      </c>
      <c r="F15">
        <v>54322.929999999957</v>
      </c>
    </row>
    <row r="16" spans="1:6" x14ac:dyDescent="0.35">
      <c r="A16" s="4" t="s">
        <v>29</v>
      </c>
      <c r="B16" s="2">
        <v>40619732.850000001</v>
      </c>
      <c r="E16" s="4" t="s">
        <v>29</v>
      </c>
      <c r="F16">
        <v>5223390.0100000026</v>
      </c>
    </row>
    <row r="17" spans="1:6" x14ac:dyDescent="0.35">
      <c r="A17" s="4" t="s">
        <v>1544</v>
      </c>
      <c r="B17" s="2">
        <v>51081823.339999996</v>
      </c>
      <c r="E17" s="4" t="s">
        <v>1544</v>
      </c>
      <c r="F17">
        <v>6669143.6700000037</v>
      </c>
    </row>
    <row r="23" spans="1:6" x14ac:dyDescent="0.35">
      <c r="A23" s="3" t="s">
        <v>1543</v>
      </c>
      <c r="B23" t="s">
        <v>1545</v>
      </c>
      <c r="E23" s="3" t="s">
        <v>1543</v>
      </c>
      <c r="F23" t="s">
        <v>1546</v>
      </c>
    </row>
    <row r="24" spans="1:6" x14ac:dyDescent="0.35">
      <c r="A24" s="4" t="s">
        <v>1547</v>
      </c>
      <c r="B24" s="2">
        <v>5527661.1499999994</v>
      </c>
      <c r="E24" s="4" t="s">
        <v>1547</v>
      </c>
      <c r="F24">
        <v>683034.5299999998</v>
      </c>
    </row>
    <row r="25" spans="1:6" x14ac:dyDescent="0.35">
      <c r="A25" s="4" t="s">
        <v>1548</v>
      </c>
      <c r="B25" s="2">
        <v>4577928.51</v>
      </c>
      <c r="E25" s="4" t="s">
        <v>1548</v>
      </c>
      <c r="F25">
        <v>587160.09000000008</v>
      </c>
    </row>
    <row r="26" spans="1:6" x14ac:dyDescent="0.35">
      <c r="A26" s="4" t="s">
        <v>1549</v>
      </c>
      <c r="B26" s="2">
        <v>3885764.5000000009</v>
      </c>
      <c r="E26" s="4" t="s">
        <v>1549</v>
      </c>
      <c r="F26">
        <v>519561.34</v>
      </c>
    </row>
    <row r="27" spans="1:6" x14ac:dyDescent="0.35">
      <c r="A27" s="4" t="s">
        <v>1550</v>
      </c>
      <c r="B27" s="2">
        <v>4300007.1099999994</v>
      </c>
      <c r="E27" s="4" t="s">
        <v>1550</v>
      </c>
      <c r="F27">
        <v>579410.78999999992</v>
      </c>
    </row>
    <row r="28" spans="1:6" x14ac:dyDescent="0.35">
      <c r="A28" s="4" t="s">
        <v>1551</v>
      </c>
      <c r="B28" s="2">
        <v>3509116.62</v>
      </c>
      <c r="E28" s="4" t="s">
        <v>1551</v>
      </c>
      <c r="F28">
        <v>495490.19</v>
      </c>
    </row>
    <row r="29" spans="1:6" x14ac:dyDescent="0.35">
      <c r="A29" s="4" t="s">
        <v>1552</v>
      </c>
      <c r="B29" s="2">
        <v>2841663.5</v>
      </c>
      <c r="E29" s="4" t="s">
        <v>1552</v>
      </c>
      <c r="F29">
        <v>343437.69999999995</v>
      </c>
    </row>
    <row r="30" spans="1:6" x14ac:dyDescent="0.35">
      <c r="A30" s="4" t="s">
        <v>1553</v>
      </c>
      <c r="B30" s="2">
        <v>3075965.3</v>
      </c>
      <c r="E30" s="4" t="s">
        <v>1553</v>
      </c>
      <c r="F30">
        <v>361187.86000000022</v>
      </c>
    </row>
    <row r="31" spans="1:6" x14ac:dyDescent="0.35">
      <c r="A31" s="4" t="s">
        <v>1554</v>
      </c>
      <c r="B31" s="2">
        <v>5604318.9499999993</v>
      </c>
      <c r="E31" s="4" t="s">
        <v>1554</v>
      </c>
      <c r="F31">
        <v>674659.62000000011</v>
      </c>
    </row>
    <row r="32" spans="1:6" x14ac:dyDescent="0.35">
      <c r="A32" s="4" t="s">
        <v>1555</v>
      </c>
      <c r="B32" s="2">
        <v>4323384.51</v>
      </c>
      <c r="E32" s="4" t="s">
        <v>1555</v>
      </c>
      <c r="F32">
        <v>650779.5199999999</v>
      </c>
    </row>
    <row r="33" spans="1:6" x14ac:dyDescent="0.35">
      <c r="A33" s="4" t="s">
        <v>1556</v>
      </c>
      <c r="B33" s="2">
        <v>3671857.42</v>
      </c>
      <c r="E33" s="4" t="s">
        <v>1556</v>
      </c>
      <c r="F33">
        <v>518226.86</v>
      </c>
    </row>
    <row r="34" spans="1:6" x14ac:dyDescent="0.35">
      <c r="A34" s="4" t="s">
        <v>1557</v>
      </c>
      <c r="B34" s="2">
        <v>4221691.8599999994</v>
      </c>
      <c r="E34" s="4" t="s">
        <v>1557</v>
      </c>
      <c r="F34">
        <v>523669.91</v>
      </c>
    </row>
    <row r="35" spans="1:6" x14ac:dyDescent="0.35">
      <c r="A35" s="4" t="s">
        <v>1558</v>
      </c>
      <c r="B35" s="2">
        <v>5542463.9099999983</v>
      </c>
      <c r="E35" s="4" t="s">
        <v>1558</v>
      </c>
      <c r="F35">
        <v>732525.25999999989</v>
      </c>
    </row>
    <row r="36" spans="1:6" x14ac:dyDescent="0.35">
      <c r="A36" s="4" t="s">
        <v>1544</v>
      </c>
      <c r="B36" s="2">
        <v>51081823.339999996</v>
      </c>
      <c r="E36" s="4" t="s">
        <v>1544</v>
      </c>
      <c r="F36">
        <v>6669143.6699999999</v>
      </c>
    </row>
    <row r="41" spans="1:6" x14ac:dyDescent="0.35">
      <c r="A41" s="3" t="s">
        <v>1543</v>
      </c>
      <c r="B41" t="s">
        <v>1545</v>
      </c>
      <c r="E41" s="3" t="s">
        <v>1543</v>
      </c>
      <c r="F41" t="s">
        <v>1546</v>
      </c>
    </row>
    <row r="42" spans="1:6" x14ac:dyDescent="0.35">
      <c r="A42" s="4" t="s">
        <v>142</v>
      </c>
      <c r="B42" s="2">
        <v>2688165.4300000006</v>
      </c>
      <c r="E42" s="4" t="s">
        <v>142</v>
      </c>
      <c r="F42">
        <v>380921.25</v>
      </c>
    </row>
    <row r="43" spans="1:6" x14ac:dyDescent="0.35">
      <c r="A43" s="4" t="s">
        <v>197</v>
      </c>
      <c r="B43" s="2">
        <v>1269583.0699999998</v>
      </c>
      <c r="E43" s="4" t="s">
        <v>197</v>
      </c>
      <c r="F43">
        <v>169644.3</v>
      </c>
    </row>
    <row r="44" spans="1:6" x14ac:dyDescent="0.35">
      <c r="A44" s="4" t="s">
        <v>130</v>
      </c>
      <c r="B44" s="2">
        <v>1042410.5499999999</v>
      </c>
      <c r="E44" s="4" t="s">
        <v>130</v>
      </c>
      <c r="F44">
        <v>144567.93</v>
      </c>
    </row>
    <row r="45" spans="1:6" x14ac:dyDescent="0.35">
      <c r="A45" s="4" t="s">
        <v>138</v>
      </c>
      <c r="B45" s="2">
        <v>7891777.4699999997</v>
      </c>
      <c r="E45" s="4" t="s">
        <v>138</v>
      </c>
      <c r="F45">
        <v>928669.29000000015</v>
      </c>
    </row>
    <row r="46" spans="1:6" x14ac:dyDescent="0.35">
      <c r="A46" s="4" t="s">
        <v>95</v>
      </c>
      <c r="B46" s="2">
        <v>7368492.2100000009</v>
      </c>
      <c r="E46" s="4" t="s">
        <v>95</v>
      </c>
      <c r="F46">
        <v>1094050.4099999999</v>
      </c>
    </row>
    <row r="47" spans="1:6" x14ac:dyDescent="0.35">
      <c r="A47" s="4" t="s">
        <v>106</v>
      </c>
      <c r="B47" s="2">
        <v>9152923.5199999996</v>
      </c>
      <c r="E47" s="4" t="s">
        <v>106</v>
      </c>
      <c r="F47">
        <v>997074.49</v>
      </c>
    </row>
    <row r="48" spans="1:6" x14ac:dyDescent="0.35">
      <c r="A48" s="4" t="s">
        <v>66</v>
      </c>
      <c r="B48" s="2">
        <v>1494398.9600000002</v>
      </c>
      <c r="E48" s="4" t="s">
        <v>66</v>
      </c>
      <c r="F48">
        <v>185222.16999999995</v>
      </c>
    </row>
    <row r="49" spans="1:6" x14ac:dyDescent="0.35">
      <c r="A49" s="4" t="s">
        <v>31</v>
      </c>
      <c r="B49" s="2">
        <v>3530694.99</v>
      </c>
      <c r="E49" s="4" t="s">
        <v>31</v>
      </c>
      <c r="F49">
        <v>466501.71000000008</v>
      </c>
    </row>
    <row r="50" spans="1:6" x14ac:dyDescent="0.35">
      <c r="A50" s="4" t="s">
        <v>112</v>
      </c>
      <c r="B50" s="2">
        <v>5494282.5899999999</v>
      </c>
      <c r="E50" s="4" t="s">
        <v>112</v>
      </c>
      <c r="F50">
        <v>766573.94999999972</v>
      </c>
    </row>
    <row r="51" spans="1:6" x14ac:dyDescent="0.35">
      <c r="A51" s="4" t="s">
        <v>182</v>
      </c>
      <c r="B51" s="2">
        <v>6413889.8200000012</v>
      </c>
      <c r="E51" s="4" t="s">
        <v>182</v>
      </c>
      <c r="F51">
        <v>867975.51</v>
      </c>
    </row>
    <row r="52" spans="1:6" x14ac:dyDescent="0.35">
      <c r="A52" s="4" t="s">
        <v>1544</v>
      </c>
      <c r="B52" s="2">
        <v>46346618.610000007</v>
      </c>
      <c r="E52" s="4" t="s">
        <v>1544</v>
      </c>
      <c r="F52">
        <v>6001201.0099999998</v>
      </c>
    </row>
    <row r="58" spans="1:6" x14ac:dyDescent="0.35">
      <c r="A58" s="3" t="s">
        <v>1543</v>
      </c>
      <c r="B58" t="s">
        <v>1546</v>
      </c>
      <c r="C58" t="s">
        <v>1545</v>
      </c>
    </row>
    <row r="59" spans="1:6" x14ac:dyDescent="0.35">
      <c r="A59" s="4" t="s">
        <v>17</v>
      </c>
      <c r="B59">
        <v>1565690.9200000002</v>
      </c>
      <c r="C59" s="2">
        <v>10776845.419999996</v>
      </c>
    </row>
    <row r="60" spans="1:6" x14ac:dyDescent="0.35">
      <c r="A60" s="4" t="s">
        <v>35</v>
      </c>
      <c r="B60">
        <v>993260.62999999989</v>
      </c>
      <c r="C60" s="2">
        <v>7942869.8100000061</v>
      </c>
    </row>
    <row r="61" spans="1:6" x14ac:dyDescent="0.35">
      <c r="A61" s="4" t="s">
        <v>51</v>
      </c>
      <c r="B61">
        <v>2302732.7700000005</v>
      </c>
      <c r="C61" s="2">
        <v>18630482.839999989</v>
      </c>
    </row>
    <row r="62" spans="1:6" x14ac:dyDescent="0.35">
      <c r="A62" s="4" t="s">
        <v>26</v>
      </c>
      <c r="B62">
        <v>1807459.3500000013</v>
      </c>
      <c r="C62" s="2">
        <v>13731625.270000001</v>
      </c>
    </row>
    <row r="63" spans="1:6" x14ac:dyDescent="0.35">
      <c r="A63" s="4" t="s">
        <v>1544</v>
      </c>
      <c r="B63">
        <v>6669143.6700000018</v>
      </c>
      <c r="C63" s="2">
        <v>51081823.339999996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97ABA1-6851-427F-9160-85455AA882A3}">
  <dimension ref="A1:A12"/>
  <sheetViews>
    <sheetView tabSelected="1" workbookViewId="0">
      <selection activeCell="E14" sqref="E14"/>
    </sheetView>
  </sheetViews>
  <sheetFormatPr defaultRowHeight="14.5" x14ac:dyDescent="0.35"/>
  <cols>
    <col min="1" max="1" width="13" bestFit="1" customWidth="1"/>
  </cols>
  <sheetData>
    <row r="1" spans="1:1" x14ac:dyDescent="0.35">
      <c r="A1" s="2">
        <f>SUM(sales[Sales])</f>
        <v>51081823.339999974</v>
      </c>
    </row>
    <row r="3" spans="1:1" x14ac:dyDescent="0.35">
      <c r="A3">
        <f>SUM(sales[Profit])</f>
        <v>6669143.6700000102</v>
      </c>
    </row>
    <row r="6" spans="1:1" x14ac:dyDescent="0.35">
      <c r="A6">
        <f>SUM(sales[Quantity])</f>
        <v>3893</v>
      </c>
    </row>
    <row r="8" spans="1:1" x14ac:dyDescent="0.35">
      <c r="A8">
        <f>SUM(sales[Sales])/COUNTA(sales[Order ID])</f>
        <v>51493.773528225778</v>
      </c>
    </row>
    <row r="10" spans="1:1" x14ac:dyDescent="0.35">
      <c r="A10">
        <f>COUNTA(sales[Order ID])</f>
        <v>992</v>
      </c>
    </row>
    <row r="12" spans="1:1" x14ac:dyDescent="0.35">
      <c r="A12" s="5">
        <f>SUM(sales[Profit])/SUM(sales[Sales])</f>
        <v>0.13055805830599024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9952AF-F453-4E9E-9BEE-C053731913D9}">
  <dimension ref="A1"/>
  <sheetViews>
    <sheetView zoomScale="72" workbookViewId="0">
      <selection activeCell="T3" sqref="T3"/>
    </sheetView>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8010CD9-3D8C-407B-B795-C263293047E6}">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sales</vt:lpstr>
      <vt:lpstr>pivottables</vt:lpstr>
      <vt:lpstr>formulas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Tulasi Kola</dc:creator>
  <cp:lastModifiedBy>Tulasi Kola</cp:lastModifiedBy>
  <dcterms:created xsi:type="dcterms:W3CDTF">2026-09-24T09:35:43Z</dcterms:created>
  <dcterms:modified xsi:type="dcterms:W3CDTF">2026-09-26T16:41:36Z</dcterms:modified>
</cp:coreProperties>
</file>